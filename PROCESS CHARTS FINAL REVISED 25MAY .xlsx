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"/>
    </mc:Choice>
  </mc:AlternateContent>
  <xr:revisionPtr revIDLastSave="0" documentId="13_ncr:1_{B34CD749-07CA-4F3F-97F3-AA415BA15C10}" xr6:coauthVersionLast="47" xr6:coauthVersionMax="47" xr10:uidLastSave="{00000000-0000-0000-0000-000000000000}"/>
  <bookViews>
    <workbookView xWindow="-108" yWindow="-108" windowWidth="23256" windowHeight="12576" xr2:uid="{34B81AD9-AFC6-4DFA-899A-8CB32C158E13}"/>
  </bookViews>
  <sheets>
    <sheet name="6" sheetId="1" r:id="rId1"/>
    <sheet name="3" sheetId="2" r:id="rId2"/>
    <sheet name="2" sheetId="3" r:id="rId3"/>
    <sheet name="5" sheetId="4" r:id="rId4"/>
    <sheet name="1" sheetId="5" r:id="rId5"/>
    <sheet name="12" sheetId="6" r:id="rId6"/>
    <sheet name="4" sheetId="7" r:id="rId7"/>
    <sheet name="11" sheetId="8" r:id="rId8"/>
    <sheet name="9" sheetId="10" r:id="rId9"/>
    <sheet name="13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1" l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14" i="10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14" i="8" l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14" i="2"/>
  <c r="A15" i="2" s="1"/>
  <c r="A20" i="2" s="1"/>
  <c r="A21" i="2" s="1"/>
  <c r="A22" i="2" s="1"/>
  <c r="A23" i="2" s="1"/>
  <c r="A24" i="2" s="1"/>
  <c r="A25" i="2" s="1"/>
  <c r="A26" i="2" s="1"/>
  <c r="A27" i="2" s="1"/>
  <c r="A28" i="2" s="1"/>
  <c r="A19" i="1"/>
  <c r="A20" i="1" s="1"/>
  <c r="A21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<sst xmlns="http://schemas.openxmlformats.org/spreadsheetml/2006/main" count="336" uniqueCount="104">
  <si>
    <t>Step</t>
  </si>
  <si>
    <t>Department: Manufacturing</t>
  </si>
  <si>
    <t>Summary</t>
  </si>
  <si>
    <t>Inspection</t>
  </si>
  <si>
    <t>Operation</t>
  </si>
  <si>
    <t>Transportation</t>
  </si>
  <si>
    <t>Storage</t>
  </si>
  <si>
    <t>Delay</t>
  </si>
  <si>
    <t>Total Steps</t>
  </si>
  <si>
    <t>Distance Travelled</t>
  </si>
  <si>
    <t>Chartered by: Fadeel Phillips</t>
  </si>
  <si>
    <t>Description of present method</t>
  </si>
  <si>
    <t>Remarks</t>
  </si>
  <si>
    <t>PROCESS CHART</t>
  </si>
  <si>
    <t>Get material at storage</t>
  </si>
  <si>
    <t xml:space="preserve">Measure &amp; mark out </t>
  </si>
  <si>
    <t>Move to cold saw</t>
  </si>
  <si>
    <t>Deburr</t>
  </si>
  <si>
    <t>Move to bending station</t>
  </si>
  <si>
    <t>Bending (Primary)</t>
  </si>
  <si>
    <t>Bending (Secondary)</t>
  </si>
  <si>
    <t>Move to inspection table</t>
  </si>
  <si>
    <t>Polish the part</t>
  </si>
  <si>
    <t>Activity: Measure, mark, cut, deburr, bending and inspection</t>
  </si>
  <si>
    <t>Measure &amp; mark out</t>
  </si>
  <si>
    <t>Cut to length</t>
  </si>
  <si>
    <t>Move to CNC Bending station</t>
  </si>
  <si>
    <t>Bending</t>
  </si>
  <si>
    <t>Move to milling machine</t>
  </si>
  <si>
    <t>Milling</t>
  </si>
  <si>
    <t>Move to belt sander</t>
  </si>
  <si>
    <t>Surface finishing</t>
  </si>
  <si>
    <t>Move to inspection</t>
  </si>
  <si>
    <t>Cut the main frame</t>
  </si>
  <si>
    <t>Cut nozzle blanks</t>
  </si>
  <si>
    <t>Move to drill press</t>
  </si>
  <si>
    <t>Port drilling</t>
  </si>
  <si>
    <t>Move to welding station</t>
  </si>
  <si>
    <t>Welding</t>
  </si>
  <si>
    <t>Move to Band saw</t>
  </si>
  <si>
    <t>Cutting</t>
  </si>
  <si>
    <t>Move to Vertical Milling Machine</t>
  </si>
  <si>
    <t>Milling (Squaring &amp; Facing)</t>
  </si>
  <si>
    <t>Milling (Witdth &amp; Thickness Sizing)</t>
  </si>
  <si>
    <t>Move to deburring station</t>
  </si>
  <si>
    <t>Move to Surface grinder</t>
  </si>
  <si>
    <t>Move to Waterjet Cutter</t>
  </si>
  <si>
    <t>Milling (Pattern A)</t>
  </si>
  <si>
    <t>Milling (Pattern B)</t>
  </si>
  <si>
    <t>Move to Deburring station</t>
  </si>
  <si>
    <t xml:space="preserve">Surface finsihing </t>
  </si>
  <si>
    <t>Cut vertical member</t>
  </si>
  <si>
    <t>Drilling</t>
  </si>
  <si>
    <t>Deburring</t>
  </si>
  <si>
    <t>Move to buffing wheel</t>
  </si>
  <si>
    <t>Move to milling station</t>
  </si>
  <si>
    <t xml:space="preserve">Move to buffing wheel </t>
  </si>
  <si>
    <t>Activity: Measure, mark, cut, deburr, cnc bending, milling, surface finishing and inspection</t>
  </si>
  <si>
    <t>Activity: Measure, mark, cut, milling, drilling, welding, deburring, inspection</t>
  </si>
  <si>
    <t>Activity: Measure, mark, cutting, milling, deburring, surface finishing and inspection</t>
  </si>
  <si>
    <t>Activity: Meadure, mark, cutting, milling, deburring, surface finishing and inspection</t>
  </si>
  <si>
    <t>Activity: Measure, mark, cutting, milling, drilling, deburring, welding, surface finishing and inspection</t>
  </si>
  <si>
    <t>Activity: Measure, mark, cutting, deburring, milling, surface finishing and inspection</t>
  </si>
  <si>
    <t>Activity: Measure, mark, cutting, deburring, milling,surface finishing and inspection</t>
  </si>
  <si>
    <t>To assembly</t>
  </si>
  <si>
    <t xml:space="preserve">Product Name:HydroForce HF-250 PRO </t>
  </si>
  <si>
    <t xml:space="preserve">Product Name: HydroForce HF-250 PRO </t>
  </si>
  <si>
    <t>Move to CNC Lathe</t>
  </si>
  <si>
    <t>CNC Turning</t>
  </si>
  <si>
    <t>Move to Drill</t>
  </si>
  <si>
    <t>Move to CNC Mill</t>
  </si>
  <si>
    <t>Move to assembly table</t>
  </si>
  <si>
    <t>Assemble swivels &amp; seals</t>
  </si>
  <si>
    <t xml:space="preserve">Move to CNC </t>
  </si>
  <si>
    <t>Move to Tap and Die</t>
  </si>
  <si>
    <t>Cut male threads</t>
  </si>
  <si>
    <t>Verify geometry</t>
  </si>
  <si>
    <t>Move to ultrasonic cleaner</t>
  </si>
  <si>
    <t>Remove debris</t>
  </si>
  <si>
    <t>Verify dimensions</t>
  </si>
  <si>
    <t>Visual check</t>
  </si>
  <si>
    <t>Outer Diameter (∅ 14.00) , Inner Diameter (∅ 10.00)</t>
  </si>
  <si>
    <r>
      <t xml:space="preserve">Part Name: </t>
    </r>
    <r>
      <rPr>
        <b/>
        <sz val="12"/>
        <color theme="1"/>
        <rFont val="Arial"/>
        <family val="2"/>
      </rPr>
      <t>ELBOW PIPE</t>
    </r>
  </si>
  <si>
    <r>
      <t xml:space="preserve">Part Name: </t>
    </r>
    <r>
      <rPr>
        <b/>
        <sz val="12"/>
        <color theme="1"/>
        <rFont val="Arial"/>
        <family val="2"/>
      </rPr>
      <t>HANDLEBAR</t>
    </r>
  </si>
  <si>
    <t>Move to vertical drill press</t>
  </si>
  <si>
    <r>
      <t xml:space="preserve">Part Name: </t>
    </r>
    <r>
      <rPr>
        <b/>
        <sz val="12"/>
        <color theme="1"/>
        <rFont val="Arial"/>
        <family val="2"/>
      </rPr>
      <t>NOZZLE BAR FRAME</t>
    </r>
  </si>
  <si>
    <t>Move material to measuring bench</t>
  </si>
  <si>
    <r>
      <t xml:space="preserve">Part Name: </t>
    </r>
    <r>
      <rPr>
        <b/>
        <sz val="12"/>
        <color theme="1"/>
        <rFont val="Arial"/>
        <family val="2"/>
      </rPr>
      <t>MOUNTING BRACKET</t>
    </r>
  </si>
  <si>
    <r>
      <t xml:space="preserve">Part Name: </t>
    </r>
    <r>
      <rPr>
        <b/>
        <sz val="12"/>
        <color theme="1"/>
        <rFont val="Arial"/>
        <family val="2"/>
      </rPr>
      <t>BASE PLATE</t>
    </r>
  </si>
  <si>
    <r>
      <t xml:space="preserve">Part Name: </t>
    </r>
    <r>
      <rPr>
        <b/>
        <sz val="12"/>
        <color theme="1"/>
        <rFont val="Arial"/>
        <family val="2"/>
      </rPr>
      <t>T-PIPE</t>
    </r>
  </si>
  <si>
    <r>
      <t xml:space="preserve">Part Name: </t>
    </r>
    <r>
      <rPr>
        <b/>
        <sz val="12"/>
        <color theme="1"/>
        <rFont val="Arial"/>
        <family val="2"/>
      </rPr>
      <t>PIPE FITTING 1</t>
    </r>
  </si>
  <si>
    <r>
      <t xml:space="preserve">Part Name: </t>
    </r>
    <r>
      <rPr>
        <b/>
        <sz val="12"/>
        <color theme="1"/>
        <rFont val="Arial"/>
        <family val="2"/>
      </rPr>
      <t>PIPE FITTING 2</t>
    </r>
  </si>
  <si>
    <r>
      <t xml:space="preserve">Part Name: </t>
    </r>
    <r>
      <rPr>
        <b/>
        <sz val="12"/>
        <color theme="1"/>
        <rFont val="Arial"/>
        <family val="2"/>
      </rPr>
      <t>SWIVEL FITTINGS</t>
    </r>
  </si>
  <si>
    <r>
      <t xml:space="preserve">Part Name: </t>
    </r>
    <r>
      <rPr>
        <b/>
        <sz val="12"/>
        <color theme="1"/>
        <rFont val="Arial"/>
        <family val="2"/>
      </rPr>
      <t>FLAT SPRAY NOZZLES</t>
    </r>
  </si>
  <si>
    <t>Part No: 9</t>
  </si>
  <si>
    <t>Part No: 6</t>
  </si>
  <si>
    <t>Part No: 3</t>
  </si>
  <si>
    <t xml:space="preserve">Part No: 2 </t>
  </si>
  <si>
    <t>Part No: 5</t>
  </si>
  <si>
    <t xml:space="preserve">Part No: 1 </t>
  </si>
  <si>
    <t>Part No: 12</t>
  </si>
  <si>
    <t>Part No: 4</t>
  </si>
  <si>
    <t>Part No: 11</t>
  </si>
  <si>
    <t>Part No: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</si>
</sst>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left" vertical="top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/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16</xdr:row>
      <xdr:rowOff>14288</xdr:rowOff>
    </xdr:from>
    <xdr:to>
      <xdr:col>1</xdr:col>
      <xdr:colOff>370523</xdr:colOff>
      <xdr:row>16</xdr:row>
      <xdr:rowOff>165463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5742EDB4-3816-446C-9D5A-EFC6371DB712}"/>
            </a:ext>
          </a:extLst>
        </xdr:cNvPr>
        <xdr:cNvSpPr/>
      </xdr:nvSpPr>
      <xdr:spPr>
        <a:xfrm>
          <a:off x="1535294" y="2801031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101255</xdr:colOff>
      <xdr:row>16</xdr:row>
      <xdr:rowOff>47625</xdr:rowOff>
    </xdr:from>
    <xdr:to>
      <xdr:col>2</xdr:col>
      <xdr:colOff>420342</xdr:colOff>
      <xdr:row>16</xdr:row>
      <xdr:rowOff>142875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DF6F2C9-A2D2-4BF6-8E71-84C4700DB38E}"/>
            </a:ext>
          </a:extLst>
        </xdr:cNvPr>
        <xdr:cNvSpPr/>
      </xdr:nvSpPr>
      <xdr:spPr>
        <a:xfrm>
          <a:off x="995777" y="3035990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88003</xdr:colOff>
      <xdr:row>16</xdr:row>
      <xdr:rowOff>37065</xdr:rowOff>
    </xdr:from>
    <xdr:to>
      <xdr:col>3</xdr:col>
      <xdr:colOff>397565</xdr:colOff>
      <xdr:row>16</xdr:row>
      <xdr:rowOff>170414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925B0027-970F-4267-B6FA-692CCF72A82A}"/>
            </a:ext>
          </a:extLst>
        </xdr:cNvPr>
        <xdr:cNvSpPr/>
      </xdr:nvSpPr>
      <xdr:spPr>
        <a:xfrm>
          <a:off x="1446351" y="3025430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16</xdr:row>
      <xdr:rowOff>19050</xdr:rowOff>
    </xdr:from>
    <xdr:to>
      <xdr:col>4</xdr:col>
      <xdr:colOff>376238</xdr:colOff>
      <xdr:row>16</xdr:row>
      <xdr:rowOff>161925</xdr:rowOff>
    </xdr:to>
    <xdr:sp macro="" textlink="">
      <xdr:nvSpPr>
        <xdr:cNvPr id="15" name="Flowchart: Delay 14">
          <a:extLst>
            <a:ext uri="{FF2B5EF4-FFF2-40B4-BE49-F238E27FC236}">
              <a16:creationId xmlns:a16="http://schemas.microsoft.com/office/drawing/2014/main" id="{B9267E88-B1A0-496E-97A1-FABF3612676A}"/>
            </a:ext>
          </a:extLst>
        </xdr:cNvPr>
        <xdr:cNvSpPr/>
      </xdr:nvSpPr>
      <xdr:spPr>
        <a:xfrm>
          <a:off x="3355906" y="3173067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16</xdr:row>
      <xdr:rowOff>14288</xdr:rowOff>
    </xdr:from>
    <xdr:to>
      <xdr:col>5</xdr:col>
      <xdr:colOff>381000</xdr:colOff>
      <xdr:row>16</xdr:row>
      <xdr:rowOff>161925</xdr:rowOff>
    </xdr:to>
    <xdr:sp macro="" textlink="">
      <xdr:nvSpPr>
        <xdr:cNvPr id="16" name="Flowchart: Merge 15">
          <a:extLst>
            <a:ext uri="{FF2B5EF4-FFF2-40B4-BE49-F238E27FC236}">
              <a16:creationId xmlns:a16="http://schemas.microsoft.com/office/drawing/2014/main" id="{6465B6EE-1E43-48B8-A200-D4A956C2CEE7}"/>
            </a:ext>
          </a:extLst>
        </xdr:cNvPr>
        <xdr:cNvSpPr/>
      </xdr:nvSpPr>
      <xdr:spPr>
        <a:xfrm>
          <a:off x="3970268" y="3168305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243444</xdr:colOff>
      <xdr:row>17</xdr:row>
      <xdr:rowOff>47502</xdr:rowOff>
    </xdr:from>
    <xdr:to>
      <xdr:col>5</xdr:col>
      <xdr:colOff>341586</xdr:colOff>
      <xdr:row>17</xdr:row>
      <xdr:rowOff>141890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EDFEB1FF-7C76-6926-1243-E2CA4C801C87}"/>
            </a:ext>
          </a:extLst>
        </xdr:cNvPr>
        <xdr:cNvSpPr/>
      </xdr:nvSpPr>
      <xdr:spPr>
        <a:xfrm>
          <a:off x="4015839" y="304206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285627</xdr:colOff>
      <xdr:row>17</xdr:row>
      <xdr:rowOff>98570</xdr:rowOff>
    </xdr:from>
    <xdr:to>
      <xdr:col>5</xdr:col>
      <xdr:colOff>292800</xdr:colOff>
      <xdr:row>18</xdr:row>
      <xdr:rowOff>77183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180A7FA-821D-4CDB-D6A9-F033CC7B7A91}"/>
            </a:ext>
          </a:extLst>
        </xdr:cNvPr>
        <xdr:cNvCxnSpPr/>
      </xdr:nvCxnSpPr>
      <xdr:spPr>
        <a:xfrm flipH="1">
          <a:off x="2839556" y="3065454"/>
          <a:ext cx="1226373" cy="15313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230038</xdr:colOff>
      <xdr:row>18</xdr:row>
      <xdr:rowOff>31631</xdr:rowOff>
    </xdr:from>
    <xdr:to>
      <xdr:col>3</xdr:col>
      <xdr:colOff>328180</xdr:colOff>
      <xdr:row>18</xdr:row>
      <xdr:rowOff>126019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ACE11761-2344-418C-A888-511EB05F0CA1}"/>
            </a:ext>
          </a:extLst>
        </xdr:cNvPr>
        <xdr:cNvSpPr/>
      </xdr:nvSpPr>
      <xdr:spPr>
        <a:xfrm>
          <a:off x="2783457" y="318889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232913</xdr:colOff>
      <xdr:row>20</xdr:row>
      <xdr:rowOff>40257</xdr:rowOff>
    </xdr:from>
    <xdr:to>
      <xdr:col>3</xdr:col>
      <xdr:colOff>331055</xdr:colOff>
      <xdr:row>20</xdr:row>
      <xdr:rowOff>134645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2FD66DD9-F78C-46E6-BF7D-F2E7F8E5D511}"/>
            </a:ext>
          </a:extLst>
        </xdr:cNvPr>
        <xdr:cNvSpPr/>
      </xdr:nvSpPr>
      <xdr:spPr>
        <a:xfrm>
          <a:off x="2786332" y="354833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227162</xdr:colOff>
      <xdr:row>24</xdr:row>
      <xdr:rowOff>34505</xdr:rowOff>
    </xdr:from>
    <xdr:to>
      <xdr:col>3</xdr:col>
      <xdr:colOff>325304</xdr:colOff>
      <xdr:row>24</xdr:row>
      <xdr:rowOff>128893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B4CA9973-590E-40C3-8C82-F0CEEADB53C4}"/>
            </a:ext>
          </a:extLst>
        </xdr:cNvPr>
        <xdr:cNvSpPr/>
      </xdr:nvSpPr>
      <xdr:spPr>
        <a:xfrm>
          <a:off x="2780581" y="389338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227163</xdr:colOff>
      <xdr:row>27</xdr:row>
      <xdr:rowOff>40257</xdr:rowOff>
    </xdr:from>
    <xdr:to>
      <xdr:col>3</xdr:col>
      <xdr:colOff>325305</xdr:colOff>
      <xdr:row>27</xdr:row>
      <xdr:rowOff>134645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94836A8C-3134-4D53-A2F2-5050E72EC794}"/>
            </a:ext>
          </a:extLst>
        </xdr:cNvPr>
        <xdr:cNvSpPr/>
      </xdr:nvSpPr>
      <xdr:spPr>
        <a:xfrm>
          <a:off x="2780582" y="442535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186951</xdr:colOff>
      <xdr:row>28</xdr:row>
      <xdr:rowOff>138587</xdr:rowOff>
    </xdr:from>
    <xdr:to>
      <xdr:col>2</xdr:col>
      <xdr:colOff>285093</xdr:colOff>
      <xdr:row>28</xdr:row>
      <xdr:rowOff>232975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973D4AC3-38D2-4CB1-B063-2A6D40CA8636}"/>
            </a:ext>
          </a:extLst>
        </xdr:cNvPr>
        <xdr:cNvSpPr/>
      </xdr:nvSpPr>
      <xdr:spPr>
        <a:xfrm>
          <a:off x="1077288" y="525200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230909</xdr:colOff>
      <xdr:row>30</xdr:row>
      <xdr:rowOff>42333</xdr:rowOff>
    </xdr:from>
    <xdr:to>
      <xdr:col>2</xdr:col>
      <xdr:colOff>329051</xdr:colOff>
      <xdr:row>30</xdr:row>
      <xdr:rowOff>136721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86810794-4592-4762-ACD1-3D5892EB3055}"/>
            </a:ext>
          </a:extLst>
        </xdr:cNvPr>
        <xdr:cNvSpPr/>
      </xdr:nvSpPr>
      <xdr:spPr>
        <a:xfrm>
          <a:off x="2174394" y="499918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234752</xdr:colOff>
      <xdr:row>19</xdr:row>
      <xdr:rowOff>30784</xdr:rowOff>
    </xdr:from>
    <xdr:to>
      <xdr:col>1</xdr:col>
      <xdr:colOff>332894</xdr:colOff>
      <xdr:row>19</xdr:row>
      <xdr:rowOff>125172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3A333435-2F1B-4BF5-BD2A-934E2B2275AC}"/>
            </a:ext>
          </a:extLst>
        </xdr:cNvPr>
        <xdr:cNvSpPr/>
      </xdr:nvSpPr>
      <xdr:spPr>
        <a:xfrm>
          <a:off x="1570176" y="339436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219360</xdr:colOff>
      <xdr:row>23</xdr:row>
      <xdr:rowOff>34632</xdr:rowOff>
    </xdr:from>
    <xdr:to>
      <xdr:col>1</xdr:col>
      <xdr:colOff>317502</xdr:colOff>
      <xdr:row>23</xdr:row>
      <xdr:rowOff>129020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57ED2543-E764-42B3-9656-6A3A14DA9B72}"/>
            </a:ext>
          </a:extLst>
        </xdr:cNvPr>
        <xdr:cNvSpPr/>
      </xdr:nvSpPr>
      <xdr:spPr>
        <a:xfrm>
          <a:off x="1554784" y="37522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223208</xdr:colOff>
      <xdr:row>25</xdr:row>
      <xdr:rowOff>38481</xdr:rowOff>
    </xdr:from>
    <xdr:to>
      <xdr:col>1</xdr:col>
      <xdr:colOff>321350</xdr:colOff>
      <xdr:row>25</xdr:row>
      <xdr:rowOff>132869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19009CAB-1D0C-4929-8204-D55D7DCB0794}"/>
            </a:ext>
          </a:extLst>
        </xdr:cNvPr>
        <xdr:cNvSpPr/>
      </xdr:nvSpPr>
      <xdr:spPr>
        <a:xfrm>
          <a:off x="1558632" y="411017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223213</xdr:colOff>
      <xdr:row>26</xdr:row>
      <xdr:rowOff>38485</xdr:rowOff>
    </xdr:from>
    <xdr:to>
      <xdr:col>1</xdr:col>
      <xdr:colOff>321355</xdr:colOff>
      <xdr:row>26</xdr:row>
      <xdr:rowOff>132873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E3E43950-70E9-4A50-8A8F-B9553CEC76CB}"/>
            </a:ext>
          </a:extLst>
        </xdr:cNvPr>
        <xdr:cNvSpPr/>
      </xdr:nvSpPr>
      <xdr:spPr>
        <a:xfrm>
          <a:off x="1558637" y="428721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215515</xdr:colOff>
      <xdr:row>29</xdr:row>
      <xdr:rowOff>46182</xdr:rowOff>
    </xdr:from>
    <xdr:to>
      <xdr:col>1</xdr:col>
      <xdr:colOff>313657</xdr:colOff>
      <xdr:row>29</xdr:row>
      <xdr:rowOff>140570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6D4BA0B2-F813-43D5-8A3E-C4A3269D023F}"/>
            </a:ext>
          </a:extLst>
        </xdr:cNvPr>
        <xdr:cNvSpPr/>
      </xdr:nvSpPr>
      <xdr:spPr>
        <a:xfrm>
          <a:off x="1550939" y="48260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238734</xdr:colOff>
      <xdr:row>18</xdr:row>
      <xdr:rowOff>91414</xdr:rowOff>
    </xdr:from>
    <xdr:to>
      <xdr:col>3</xdr:col>
      <xdr:colOff>234020</xdr:colOff>
      <xdr:row>19</xdr:row>
      <xdr:rowOff>90567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54E0F42-DFA9-C72A-04F4-4DCE4EF99202}"/>
            </a:ext>
          </a:extLst>
        </xdr:cNvPr>
        <xdr:cNvCxnSpPr/>
      </xdr:nvCxnSpPr>
      <xdr:spPr>
        <a:xfrm flipV="1">
          <a:off x="1572234" y="3271032"/>
          <a:ext cx="1214486" cy="1757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275795</xdr:colOff>
      <xdr:row>19</xdr:row>
      <xdr:rowOff>86584</xdr:rowOff>
    </xdr:from>
    <xdr:to>
      <xdr:col>3</xdr:col>
      <xdr:colOff>331055</xdr:colOff>
      <xdr:row>20</xdr:row>
      <xdr:rowOff>87451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1E723017-A73D-405A-98C8-2BB9A89ACF23}"/>
            </a:ext>
          </a:extLst>
        </xdr:cNvPr>
        <xdr:cNvCxnSpPr>
          <a:endCxn id="8" idx="6"/>
        </xdr:cNvCxnSpPr>
      </xdr:nvCxnSpPr>
      <xdr:spPr>
        <a:xfrm>
          <a:off x="1609295" y="3416524"/>
          <a:ext cx="1274460" cy="17612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303129</xdr:colOff>
      <xdr:row>23</xdr:row>
      <xdr:rowOff>115197</xdr:rowOff>
    </xdr:from>
    <xdr:to>
      <xdr:col>3</xdr:col>
      <xdr:colOff>325304</xdr:colOff>
      <xdr:row>24</xdr:row>
      <xdr:rowOff>81699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30C3E19-3C5F-713B-C0C1-B88606B0D1A3}"/>
            </a:ext>
          </a:extLst>
        </xdr:cNvPr>
        <xdr:cNvCxnSpPr>
          <a:stCxn id="19" idx="5"/>
          <a:endCxn id="9" idx="6"/>
        </xdr:cNvCxnSpPr>
      </xdr:nvCxnSpPr>
      <xdr:spPr>
        <a:xfrm>
          <a:off x="1636629" y="3795657"/>
          <a:ext cx="1241375" cy="14176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223208</xdr:colOff>
      <xdr:row>24</xdr:row>
      <xdr:rowOff>81699</xdr:rowOff>
    </xdr:from>
    <xdr:to>
      <xdr:col>3</xdr:col>
      <xdr:colOff>325304</xdr:colOff>
      <xdr:row>25</xdr:row>
      <xdr:rowOff>85675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3A13DCF5-D9FA-3711-F77C-58C29800030B}"/>
            </a:ext>
          </a:extLst>
        </xdr:cNvPr>
        <xdr:cNvCxnSpPr>
          <a:stCxn id="9" idx="6"/>
          <a:endCxn id="20" idx="2"/>
        </xdr:cNvCxnSpPr>
      </xdr:nvCxnSpPr>
      <xdr:spPr>
        <a:xfrm flipH="1">
          <a:off x="1556708" y="3937419"/>
          <a:ext cx="1321296" cy="17923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268928</xdr:colOff>
      <xdr:row>25</xdr:row>
      <xdr:rowOff>79960</xdr:rowOff>
    </xdr:from>
    <xdr:to>
      <xdr:col>1</xdr:col>
      <xdr:colOff>272284</xdr:colOff>
      <xdr:row>26</xdr:row>
      <xdr:rowOff>132873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EF8985C-EFE4-413B-B06C-86A89AD7E7C9}"/>
            </a:ext>
          </a:extLst>
        </xdr:cNvPr>
        <xdr:cNvCxnSpPr>
          <a:endCxn id="21" idx="4"/>
        </xdr:cNvCxnSpPr>
      </xdr:nvCxnSpPr>
      <xdr:spPr>
        <a:xfrm>
          <a:off x="1602428" y="4110940"/>
          <a:ext cx="3356" cy="22817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223213</xdr:colOff>
      <xdr:row>26</xdr:row>
      <xdr:rowOff>85679</xdr:rowOff>
    </xdr:from>
    <xdr:to>
      <xdr:col>3</xdr:col>
      <xdr:colOff>325305</xdr:colOff>
      <xdr:row>27</xdr:row>
      <xdr:rowOff>87451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3F81E6E-3C0C-63DF-2EB2-CBD6265A44EB}"/>
            </a:ext>
          </a:extLst>
        </xdr:cNvPr>
        <xdr:cNvCxnSpPr>
          <a:stCxn id="21" idx="2"/>
          <a:endCxn id="10" idx="5"/>
        </xdr:cNvCxnSpPr>
      </xdr:nvCxnSpPr>
      <xdr:spPr>
        <a:xfrm>
          <a:off x="1556713" y="4291919"/>
          <a:ext cx="1321292" cy="17703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186951</xdr:colOff>
      <xdr:row>27</xdr:row>
      <xdr:rowOff>87451</xdr:rowOff>
    </xdr:from>
    <xdr:to>
      <xdr:col>3</xdr:col>
      <xdr:colOff>325305</xdr:colOff>
      <xdr:row>28</xdr:row>
      <xdr:rowOff>185781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A40D584-1067-DB89-8FE4-36EC4EDCD088}"/>
            </a:ext>
          </a:extLst>
        </xdr:cNvPr>
        <xdr:cNvCxnSpPr>
          <a:stCxn id="10" idx="6"/>
          <a:endCxn id="11" idx="2"/>
        </xdr:cNvCxnSpPr>
      </xdr:nvCxnSpPr>
      <xdr:spPr>
        <a:xfrm flipH="1">
          <a:off x="1077288" y="5024409"/>
          <a:ext cx="603575" cy="2747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215515</xdr:colOff>
      <xdr:row>28</xdr:row>
      <xdr:rowOff>185781</xdr:rowOff>
    </xdr:from>
    <xdr:to>
      <xdr:col>2</xdr:col>
      <xdr:colOff>186951</xdr:colOff>
      <xdr:row>29</xdr:row>
      <xdr:rowOff>93376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D26ADB6-1926-090F-B83B-C42B1B23506F}"/>
            </a:ext>
          </a:extLst>
        </xdr:cNvPr>
        <xdr:cNvCxnSpPr>
          <a:stCxn id="11" idx="2"/>
          <a:endCxn id="22" idx="2"/>
        </xdr:cNvCxnSpPr>
      </xdr:nvCxnSpPr>
      <xdr:spPr>
        <a:xfrm flipH="1">
          <a:off x="604536" y="5299202"/>
          <a:ext cx="472752" cy="2565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215515</xdr:colOff>
      <xdr:row>29</xdr:row>
      <xdr:rowOff>93376</xdr:rowOff>
    </xdr:from>
    <xdr:to>
      <xdr:col>2</xdr:col>
      <xdr:colOff>329051</xdr:colOff>
      <xdr:row>30</xdr:row>
      <xdr:rowOff>89527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5FF2DC0-A363-7EB8-1274-2A95A8F10744}"/>
            </a:ext>
          </a:extLst>
        </xdr:cNvPr>
        <xdr:cNvCxnSpPr>
          <a:stCxn id="22" idx="2"/>
          <a:endCxn id="17" idx="6"/>
        </xdr:cNvCxnSpPr>
      </xdr:nvCxnSpPr>
      <xdr:spPr>
        <a:xfrm>
          <a:off x="1549015" y="4825396"/>
          <a:ext cx="723136" cy="1714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251460</xdr:colOff>
      <xdr:row>21</xdr:row>
      <xdr:rowOff>38100</xdr:rowOff>
    </xdr:from>
    <xdr:to>
      <xdr:col>1</xdr:col>
      <xdr:colOff>349602</xdr:colOff>
      <xdr:row>21</xdr:row>
      <xdr:rowOff>132488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10C542C3-8972-4CBA-894A-228894542E22}"/>
            </a:ext>
          </a:extLst>
        </xdr:cNvPr>
        <xdr:cNvSpPr/>
      </xdr:nvSpPr>
      <xdr:spPr>
        <a:xfrm>
          <a:off x="1417320" y="389382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228606</xdr:colOff>
      <xdr:row>22</xdr:row>
      <xdr:rowOff>38104</xdr:rowOff>
    </xdr:from>
    <xdr:to>
      <xdr:col>3</xdr:col>
      <xdr:colOff>326748</xdr:colOff>
      <xdr:row>22</xdr:row>
      <xdr:rowOff>132492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8C6AAD2A-8BEC-46AE-82FF-EB9305C65D88}"/>
            </a:ext>
          </a:extLst>
        </xdr:cNvPr>
        <xdr:cNvSpPr/>
      </xdr:nvSpPr>
      <xdr:spPr>
        <a:xfrm>
          <a:off x="2614619" y="409099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280987</xdr:colOff>
      <xdr:row>21</xdr:row>
      <xdr:rowOff>95250</xdr:rowOff>
    </xdr:from>
    <xdr:to>
      <xdr:col>3</xdr:col>
      <xdr:colOff>312375</xdr:colOff>
      <xdr:row>22</xdr:row>
      <xdr:rowOff>118669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58EDA68-5ADB-4A05-9687-BDFE42B8378F}"/>
            </a:ext>
          </a:extLst>
        </xdr:cNvPr>
        <xdr:cNvCxnSpPr>
          <a:endCxn id="5" idx="5"/>
        </xdr:cNvCxnSpPr>
      </xdr:nvCxnSpPr>
      <xdr:spPr>
        <a:xfrm>
          <a:off x="1447800" y="3971925"/>
          <a:ext cx="1250588" cy="19963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20</xdr:row>
      <xdr:rowOff>76199</xdr:rowOff>
    </xdr:from>
    <xdr:to>
      <xdr:col>3</xdr:col>
      <xdr:colOff>290561</xdr:colOff>
      <xdr:row>21</xdr:row>
      <xdr:rowOff>75352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7628B1A-E35B-4957-A228-D1E8772955E5}"/>
            </a:ext>
          </a:extLst>
        </xdr:cNvPr>
        <xdr:cNvCxnSpPr/>
      </xdr:nvCxnSpPr>
      <xdr:spPr>
        <a:xfrm flipV="1">
          <a:off x="1462088" y="3776662"/>
          <a:ext cx="1214486" cy="1753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252412</xdr:colOff>
      <xdr:row>22</xdr:row>
      <xdr:rowOff>95250</xdr:rowOff>
    </xdr:from>
    <xdr:to>
      <xdr:col>3</xdr:col>
      <xdr:colOff>247698</xdr:colOff>
      <xdr:row>23</xdr:row>
      <xdr:rowOff>94403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CD604988-1FAE-4400-AFE8-40C408FE06B2}"/>
            </a:ext>
          </a:extLst>
        </xdr:cNvPr>
        <xdr:cNvCxnSpPr/>
      </xdr:nvCxnSpPr>
      <xdr:spPr>
        <a:xfrm flipV="1">
          <a:off x="1419225" y="4148138"/>
          <a:ext cx="1214486" cy="1753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231226</xdr:colOff>
      <xdr:row>31</xdr:row>
      <xdr:rowOff>31530</xdr:rowOff>
    </xdr:from>
    <xdr:to>
      <xdr:col>3</xdr:col>
      <xdr:colOff>329368</xdr:colOff>
      <xdr:row>31</xdr:row>
      <xdr:rowOff>125918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FAA933B6-B767-4A8D-9AC7-DDC0027A39A1}"/>
            </a:ext>
          </a:extLst>
        </xdr:cNvPr>
        <xdr:cNvSpPr/>
      </xdr:nvSpPr>
      <xdr:spPr>
        <a:xfrm>
          <a:off x="2617074" y="558624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220718</xdr:colOff>
      <xdr:row>30</xdr:row>
      <xdr:rowOff>84082</xdr:rowOff>
    </xdr:from>
    <xdr:to>
      <xdr:col>3</xdr:col>
      <xdr:colOff>334254</xdr:colOff>
      <xdr:row>31</xdr:row>
      <xdr:rowOff>80234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BBAE9D6-6DB7-4AFC-A9D9-B067B1290822}"/>
            </a:ext>
          </a:extLst>
        </xdr:cNvPr>
        <xdr:cNvCxnSpPr/>
      </xdr:nvCxnSpPr>
      <xdr:spPr>
        <a:xfrm>
          <a:off x="1996966" y="5465379"/>
          <a:ext cx="723136" cy="16957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31ED2A10-0978-4067-9885-7450BD87AC2D}"/>
            </a:ext>
          </a:extLst>
        </xdr:cNvPr>
        <xdr:cNvSpPr/>
      </xdr:nvSpPr>
      <xdr:spPr>
        <a:xfrm>
          <a:off x="1536383" y="28184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26256F-5101-4849-97CA-67F1C4873FDE}"/>
            </a:ext>
          </a:extLst>
        </xdr:cNvPr>
        <xdr:cNvSpPr/>
      </xdr:nvSpPr>
      <xdr:spPr>
        <a:xfrm>
          <a:off x="2090738" y="285178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AF9EF7E5-99D3-46C1-AF51-098DDD7B37B8}"/>
            </a:ext>
          </a:extLst>
        </xdr:cNvPr>
        <xdr:cNvSpPr/>
      </xdr:nvSpPr>
      <xdr:spPr>
        <a:xfrm>
          <a:off x="1435418" y="239363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D3B5DEA9-B3FA-49F9-AC72-8E1CAAD7E874}"/>
            </a:ext>
          </a:extLst>
        </xdr:cNvPr>
        <xdr:cNvSpPr/>
      </xdr:nvSpPr>
      <xdr:spPr>
        <a:xfrm>
          <a:off x="3357563" y="282321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29B6F081-D8A2-4C45-8E11-7BC7F01B958B}"/>
            </a:ext>
          </a:extLst>
        </xdr:cNvPr>
        <xdr:cNvSpPr/>
      </xdr:nvSpPr>
      <xdr:spPr>
        <a:xfrm>
          <a:off x="3971925" y="281844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230222</xdr:colOff>
      <xdr:row>12</xdr:row>
      <xdr:rowOff>48638</xdr:rowOff>
    </xdr:from>
    <xdr:to>
      <xdr:col>5</xdr:col>
      <xdr:colOff>328364</xdr:colOff>
      <xdr:row>12</xdr:row>
      <xdr:rowOff>143026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E1D4839F-B003-4F07-8321-5A516928ADC4}"/>
            </a:ext>
          </a:extLst>
        </xdr:cNvPr>
        <xdr:cNvSpPr/>
      </xdr:nvSpPr>
      <xdr:spPr>
        <a:xfrm>
          <a:off x="3972128" y="222114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252919</xdr:colOff>
      <xdr:row>13</xdr:row>
      <xdr:rowOff>38910</xdr:rowOff>
    </xdr:from>
    <xdr:to>
      <xdr:col>3</xdr:col>
      <xdr:colOff>351061</xdr:colOff>
      <xdr:row>13</xdr:row>
      <xdr:rowOff>133298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4748CAF5-4139-41BC-9065-9D6871A34823}"/>
            </a:ext>
          </a:extLst>
        </xdr:cNvPr>
        <xdr:cNvSpPr/>
      </xdr:nvSpPr>
      <xdr:spPr>
        <a:xfrm>
          <a:off x="2775625" y="239300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214008</xdr:colOff>
      <xdr:row>14</xdr:row>
      <xdr:rowOff>32425</xdr:rowOff>
    </xdr:from>
    <xdr:to>
      <xdr:col>1</xdr:col>
      <xdr:colOff>312150</xdr:colOff>
      <xdr:row>14</xdr:row>
      <xdr:rowOff>126813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AB2501EC-AB6F-4F9F-8D81-888778908C1F}"/>
            </a:ext>
          </a:extLst>
        </xdr:cNvPr>
        <xdr:cNvSpPr/>
      </xdr:nvSpPr>
      <xdr:spPr>
        <a:xfrm>
          <a:off x="1517514" y="256810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223736</xdr:colOff>
      <xdr:row>16</xdr:row>
      <xdr:rowOff>38911</xdr:rowOff>
    </xdr:from>
    <xdr:to>
      <xdr:col>1</xdr:col>
      <xdr:colOff>321878</xdr:colOff>
      <xdr:row>16</xdr:row>
      <xdr:rowOff>133299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A4BFE571-7292-42BA-90D0-D58DFB0A2510}"/>
            </a:ext>
          </a:extLst>
        </xdr:cNvPr>
        <xdr:cNvSpPr/>
      </xdr:nvSpPr>
      <xdr:spPr>
        <a:xfrm>
          <a:off x="1527242" y="275617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226979</xdr:colOff>
      <xdr:row>18</xdr:row>
      <xdr:rowOff>51881</xdr:rowOff>
    </xdr:from>
    <xdr:to>
      <xdr:col>1</xdr:col>
      <xdr:colOff>325121</xdr:colOff>
      <xdr:row>18</xdr:row>
      <xdr:rowOff>146269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BAFEDCD1-4A70-4D8F-86F7-0CE563C9F7C3}"/>
            </a:ext>
          </a:extLst>
        </xdr:cNvPr>
        <xdr:cNvSpPr/>
      </xdr:nvSpPr>
      <xdr:spPr>
        <a:xfrm>
          <a:off x="1530485" y="295072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259404</xdr:colOff>
      <xdr:row>19</xdr:row>
      <xdr:rowOff>45396</xdr:rowOff>
    </xdr:from>
    <xdr:to>
      <xdr:col>3</xdr:col>
      <xdr:colOff>357546</xdr:colOff>
      <xdr:row>19</xdr:row>
      <xdr:rowOff>139784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A55A2604-3C9C-487C-845F-0A36933BD092}"/>
            </a:ext>
          </a:extLst>
        </xdr:cNvPr>
        <xdr:cNvSpPr/>
      </xdr:nvSpPr>
      <xdr:spPr>
        <a:xfrm>
          <a:off x="2782110" y="312582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262647</xdr:colOff>
      <xdr:row>21</xdr:row>
      <xdr:rowOff>58491</xdr:rowOff>
    </xdr:from>
    <xdr:to>
      <xdr:col>3</xdr:col>
      <xdr:colOff>360789</xdr:colOff>
      <xdr:row>21</xdr:row>
      <xdr:rowOff>152754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2A8E58D9-573B-4497-ACBA-F2172E52B615}"/>
            </a:ext>
          </a:extLst>
        </xdr:cNvPr>
        <xdr:cNvSpPr/>
      </xdr:nvSpPr>
      <xdr:spPr>
        <a:xfrm>
          <a:off x="2785353" y="3502082"/>
          <a:ext cx="98142" cy="94263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217251</xdr:colOff>
      <xdr:row>22</xdr:row>
      <xdr:rowOff>42153</xdr:rowOff>
    </xdr:from>
    <xdr:to>
      <xdr:col>1</xdr:col>
      <xdr:colOff>315393</xdr:colOff>
      <xdr:row>22</xdr:row>
      <xdr:rowOff>136541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34F7F07C-358D-4C08-AE23-FB00F5A8544D}"/>
            </a:ext>
          </a:extLst>
        </xdr:cNvPr>
        <xdr:cNvSpPr/>
      </xdr:nvSpPr>
      <xdr:spPr>
        <a:xfrm>
          <a:off x="1520757" y="366732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239949</xdr:colOff>
      <xdr:row>23</xdr:row>
      <xdr:rowOff>45396</xdr:rowOff>
    </xdr:from>
    <xdr:to>
      <xdr:col>3</xdr:col>
      <xdr:colOff>338091</xdr:colOff>
      <xdr:row>23</xdr:row>
      <xdr:rowOff>139784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E9CD3AC1-8C39-451F-8146-AC2276AFCE15}"/>
            </a:ext>
          </a:extLst>
        </xdr:cNvPr>
        <xdr:cNvSpPr/>
      </xdr:nvSpPr>
      <xdr:spPr>
        <a:xfrm>
          <a:off x="2762655" y="385215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207523</xdr:colOff>
      <xdr:row>24</xdr:row>
      <xdr:rowOff>42153</xdr:rowOff>
    </xdr:from>
    <xdr:to>
      <xdr:col>1</xdr:col>
      <xdr:colOff>305665</xdr:colOff>
      <xdr:row>24</xdr:row>
      <xdr:rowOff>136541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F148F541-9A12-4038-8DF8-13C7F3337140}"/>
            </a:ext>
          </a:extLst>
        </xdr:cNvPr>
        <xdr:cNvSpPr/>
      </xdr:nvSpPr>
      <xdr:spPr>
        <a:xfrm>
          <a:off x="1511029" y="403049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249676</xdr:colOff>
      <xdr:row>25</xdr:row>
      <xdr:rowOff>32426</xdr:rowOff>
    </xdr:from>
    <xdr:to>
      <xdr:col>3</xdr:col>
      <xdr:colOff>347818</xdr:colOff>
      <xdr:row>25</xdr:row>
      <xdr:rowOff>126814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F8853103-8A53-4734-B229-42393C81D02E}"/>
            </a:ext>
          </a:extLst>
        </xdr:cNvPr>
        <xdr:cNvSpPr/>
      </xdr:nvSpPr>
      <xdr:spPr>
        <a:xfrm>
          <a:off x="2772382" y="420234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128414</xdr:colOff>
      <xdr:row>26</xdr:row>
      <xdr:rowOff>327680</xdr:rowOff>
    </xdr:from>
    <xdr:to>
      <xdr:col>2</xdr:col>
      <xdr:colOff>226556</xdr:colOff>
      <xdr:row>26</xdr:row>
      <xdr:rowOff>422068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597E319F-C7B6-45C4-B1E3-F3F405AADCFC}"/>
            </a:ext>
          </a:extLst>
        </xdr:cNvPr>
        <xdr:cNvSpPr/>
      </xdr:nvSpPr>
      <xdr:spPr>
        <a:xfrm>
          <a:off x="974635" y="562959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217251</xdr:colOff>
      <xdr:row>20</xdr:row>
      <xdr:rowOff>48638</xdr:rowOff>
    </xdr:from>
    <xdr:to>
      <xdr:col>1</xdr:col>
      <xdr:colOff>315393</xdr:colOff>
      <xdr:row>20</xdr:row>
      <xdr:rowOff>142901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FC077B1A-C271-4A4A-B0C8-4D5926C9CA6D}"/>
            </a:ext>
          </a:extLst>
        </xdr:cNvPr>
        <xdr:cNvSpPr/>
      </xdr:nvSpPr>
      <xdr:spPr>
        <a:xfrm>
          <a:off x="1520757" y="3310647"/>
          <a:ext cx="98142" cy="94263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304800</xdr:colOff>
      <xdr:row>12</xdr:row>
      <xdr:rowOff>107005</xdr:rowOff>
    </xdr:from>
    <xdr:to>
      <xdr:col>5</xdr:col>
      <xdr:colOff>311973</xdr:colOff>
      <xdr:row>13</xdr:row>
      <xdr:rowOff>79881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BD8DA9F-DFB5-428E-90B0-A0115AAA36C2}"/>
            </a:ext>
          </a:extLst>
        </xdr:cNvPr>
        <xdr:cNvCxnSpPr/>
      </xdr:nvCxnSpPr>
      <xdr:spPr>
        <a:xfrm flipH="1">
          <a:off x="2827506" y="2279516"/>
          <a:ext cx="1226373" cy="1544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246434</xdr:colOff>
      <xdr:row>13</xdr:row>
      <xdr:rowOff>103762</xdr:rowOff>
    </xdr:from>
    <xdr:to>
      <xdr:col>3</xdr:col>
      <xdr:colOff>253607</xdr:colOff>
      <xdr:row>14</xdr:row>
      <xdr:rowOff>76638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ABC3B64-7C60-4A80-83C3-9EF3A4B30A27}"/>
            </a:ext>
          </a:extLst>
        </xdr:cNvPr>
        <xdr:cNvCxnSpPr/>
      </xdr:nvCxnSpPr>
      <xdr:spPr>
        <a:xfrm flipH="1">
          <a:off x="1549940" y="2457856"/>
          <a:ext cx="1226373" cy="1544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226979</xdr:colOff>
      <xdr:row>18</xdr:row>
      <xdr:rowOff>99075</xdr:rowOff>
    </xdr:from>
    <xdr:to>
      <xdr:col>3</xdr:col>
      <xdr:colOff>259404</xdr:colOff>
      <xdr:row>19</xdr:row>
      <xdr:rowOff>92590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A2366BF-3E2F-44E3-865A-1B9F34F920C4}"/>
            </a:ext>
          </a:extLst>
        </xdr:cNvPr>
        <xdr:cNvCxnSpPr>
          <a:stCxn id="12" idx="2"/>
          <a:endCxn id="11" idx="2"/>
        </xdr:cNvCxnSpPr>
      </xdr:nvCxnSpPr>
      <xdr:spPr>
        <a:xfrm flipH="1" flipV="1">
          <a:off x="1531523" y="3019059"/>
          <a:ext cx="1251625" cy="17639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19</xdr:row>
      <xdr:rowOff>121920</xdr:rowOff>
    </xdr:from>
    <xdr:to>
      <xdr:col>3</xdr:col>
      <xdr:colOff>281493</xdr:colOff>
      <xdr:row>20</xdr:row>
      <xdr:rowOff>94796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ADF529F-7718-4FD7-A63A-869355C71F40}"/>
            </a:ext>
          </a:extLst>
        </xdr:cNvPr>
        <xdr:cNvCxnSpPr/>
      </xdr:nvCxnSpPr>
      <xdr:spPr>
        <a:xfrm flipH="1">
          <a:off x="1578864" y="3224784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287961</xdr:colOff>
      <xdr:row>20</xdr:row>
      <xdr:rowOff>126250</xdr:rowOff>
    </xdr:from>
    <xdr:to>
      <xdr:col>3</xdr:col>
      <xdr:colOff>284286</xdr:colOff>
      <xdr:row>21</xdr:row>
      <xdr:rowOff>88971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16D79BA-F022-4DE5-9750-BC81228898C4}"/>
            </a:ext>
          </a:extLst>
        </xdr:cNvPr>
        <xdr:cNvCxnSpPr/>
      </xdr:nvCxnSpPr>
      <xdr:spPr>
        <a:xfrm flipH="1" flipV="1">
          <a:off x="1592505" y="3411994"/>
          <a:ext cx="1215525" cy="14560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301752</xdr:colOff>
      <xdr:row>21</xdr:row>
      <xdr:rowOff>100584</xdr:rowOff>
    </xdr:from>
    <xdr:to>
      <xdr:col>3</xdr:col>
      <xdr:colOff>308925</xdr:colOff>
      <xdr:row>22</xdr:row>
      <xdr:rowOff>73460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BFB452C-B79C-4D26-9795-58331247F434}"/>
            </a:ext>
          </a:extLst>
        </xdr:cNvPr>
        <xdr:cNvCxnSpPr/>
      </xdr:nvCxnSpPr>
      <xdr:spPr>
        <a:xfrm flipH="1">
          <a:off x="1606296" y="3569208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217251</xdr:colOff>
      <xdr:row>22</xdr:row>
      <xdr:rowOff>89347</xdr:rowOff>
    </xdr:from>
    <xdr:to>
      <xdr:col>3</xdr:col>
      <xdr:colOff>239949</xdr:colOff>
      <xdr:row>23</xdr:row>
      <xdr:rowOff>92590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AEEA195-11CA-48F6-B9DD-442F40319785}"/>
            </a:ext>
          </a:extLst>
        </xdr:cNvPr>
        <xdr:cNvCxnSpPr>
          <a:stCxn id="16" idx="2"/>
          <a:endCxn id="15" idx="2"/>
        </xdr:cNvCxnSpPr>
      </xdr:nvCxnSpPr>
      <xdr:spPr>
        <a:xfrm flipH="1" flipV="1">
          <a:off x="1521795" y="3740851"/>
          <a:ext cx="1241898" cy="1861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277368</xdr:colOff>
      <xdr:row>23</xdr:row>
      <xdr:rowOff>106680</xdr:rowOff>
    </xdr:from>
    <xdr:to>
      <xdr:col>3</xdr:col>
      <xdr:colOff>284541</xdr:colOff>
      <xdr:row>24</xdr:row>
      <xdr:rowOff>79556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53F20DE1-87FA-445E-9CC0-CBFFC4730188}"/>
            </a:ext>
          </a:extLst>
        </xdr:cNvPr>
        <xdr:cNvCxnSpPr/>
      </xdr:nvCxnSpPr>
      <xdr:spPr>
        <a:xfrm flipH="1">
          <a:off x="1581912" y="3941064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305665</xdr:colOff>
      <xdr:row>24</xdr:row>
      <xdr:rowOff>89347</xdr:rowOff>
    </xdr:from>
    <xdr:to>
      <xdr:col>3</xdr:col>
      <xdr:colOff>347818</xdr:colOff>
      <xdr:row>25</xdr:row>
      <xdr:rowOff>79620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2690417E-CF62-4BE0-A2CF-31C29E7C8548}"/>
            </a:ext>
          </a:extLst>
        </xdr:cNvPr>
        <xdr:cNvCxnSpPr>
          <a:stCxn id="18" idx="6"/>
          <a:endCxn id="17" idx="6"/>
        </xdr:cNvCxnSpPr>
      </xdr:nvCxnSpPr>
      <xdr:spPr>
        <a:xfrm flipH="1" flipV="1">
          <a:off x="1610209" y="4106611"/>
          <a:ext cx="1261353" cy="17315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177485</xdr:colOff>
      <xdr:row>25</xdr:row>
      <xdr:rowOff>94703</xdr:rowOff>
    </xdr:from>
    <xdr:to>
      <xdr:col>3</xdr:col>
      <xdr:colOff>254905</xdr:colOff>
      <xdr:row>26</xdr:row>
      <xdr:rowOff>422068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7581BF9-52A9-4BD8-AF3C-56F0D3CC898B}"/>
            </a:ext>
          </a:extLst>
        </xdr:cNvPr>
        <xdr:cNvCxnSpPr>
          <a:endCxn id="19" idx="4"/>
        </xdr:cNvCxnSpPr>
      </xdr:nvCxnSpPr>
      <xdr:spPr>
        <a:xfrm flipH="1">
          <a:off x="1023706" y="5200103"/>
          <a:ext cx="518578" cy="5238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257909</xdr:colOff>
      <xdr:row>15</xdr:row>
      <xdr:rowOff>29310</xdr:rowOff>
    </xdr:from>
    <xdr:to>
      <xdr:col>3</xdr:col>
      <xdr:colOff>356051</xdr:colOff>
      <xdr:row>15</xdr:row>
      <xdr:rowOff>123698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81FFA6E3-A2D2-45C0-812F-DDE9A67B3A89}"/>
            </a:ext>
          </a:extLst>
        </xdr:cNvPr>
        <xdr:cNvSpPr/>
      </xdr:nvSpPr>
      <xdr:spPr>
        <a:xfrm>
          <a:off x="2778371" y="274906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257920</xdr:colOff>
      <xdr:row>17</xdr:row>
      <xdr:rowOff>41034</xdr:rowOff>
    </xdr:from>
    <xdr:to>
      <xdr:col>3</xdr:col>
      <xdr:colOff>356062</xdr:colOff>
      <xdr:row>17</xdr:row>
      <xdr:rowOff>135422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4D6132E9-CD33-4914-BE25-52003E6AF01B}"/>
            </a:ext>
          </a:extLst>
        </xdr:cNvPr>
        <xdr:cNvSpPr/>
      </xdr:nvSpPr>
      <xdr:spPr>
        <a:xfrm>
          <a:off x="2778382" y="312420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293077</xdr:colOff>
      <xdr:row>16</xdr:row>
      <xdr:rowOff>123092</xdr:rowOff>
    </xdr:from>
    <xdr:to>
      <xdr:col>3</xdr:col>
      <xdr:colOff>325502</xdr:colOff>
      <xdr:row>17</xdr:row>
      <xdr:rowOff>116608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4AF9CB8-A019-4E44-B01D-00E4B4143670}"/>
            </a:ext>
          </a:extLst>
        </xdr:cNvPr>
        <xdr:cNvCxnSpPr/>
      </xdr:nvCxnSpPr>
      <xdr:spPr>
        <a:xfrm flipH="1" flipV="1">
          <a:off x="1594339" y="3024554"/>
          <a:ext cx="1251625" cy="1752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246185</xdr:colOff>
      <xdr:row>14</xdr:row>
      <xdr:rowOff>99647</xdr:rowOff>
    </xdr:from>
    <xdr:to>
      <xdr:col>3</xdr:col>
      <xdr:colOff>278610</xdr:colOff>
      <xdr:row>15</xdr:row>
      <xdr:rowOff>93162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DFBA6B-663C-4326-B09E-C7C386804891}"/>
            </a:ext>
          </a:extLst>
        </xdr:cNvPr>
        <xdr:cNvCxnSpPr/>
      </xdr:nvCxnSpPr>
      <xdr:spPr>
        <a:xfrm flipH="1" flipV="1">
          <a:off x="1547447" y="2637693"/>
          <a:ext cx="1251625" cy="1752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15</xdr:row>
      <xdr:rowOff>93785</xdr:rowOff>
    </xdr:from>
    <xdr:to>
      <xdr:col>3</xdr:col>
      <xdr:colOff>311973</xdr:colOff>
      <xdr:row>16</xdr:row>
      <xdr:rowOff>66661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430B0B7-2ED3-4394-8A80-8028EA531A7D}"/>
            </a:ext>
          </a:extLst>
        </xdr:cNvPr>
        <xdr:cNvCxnSpPr/>
      </xdr:nvCxnSpPr>
      <xdr:spPr>
        <a:xfrm flipH="1">
          <a:off x="1606062" y="2813539"/>
          <a:ext cx="1226373" cy="154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298938</xdr:colOff>
      <xdr:row>17</xdr:row>
      <xdr:rowOff>117231</xdr:rowOff>
    </xdr:from>
    <xdr:to>
      <xdr:col>3</xdr:col>
      <xdr:colOff>306111</xdr:colOff>
      <xdr:row>18</xdr:row>
      <xdr:rowOff>90107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37287AB-8608-4CC3-89D9-47702D07607B}"/>
            </a:ext>
          </a:extLst>
        </xdr:cNvPr>
        <xdr:cNvCxnSpPr/>
      </xdr:nvCxnSpPr>
      <xdr:spPr>
        <a:xfrm flipH="1">
          <a:off x="1600200" y="3200400"/>
          <a:ext cx="1226373" cy="154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27</xdr:row>
      <xdr:rowOff>57444</xdr:rowOff>
    </xdr:from>
    <xdr:to>
      <xdr:col>3</xdr:col>
      <xdr:colOff>345498</xdr:colOff>
      <xdr:row>27</xdr:row>
      <xdr:rowOff>151832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9686CE88-E6E5-42FA-92E1-AD28DD9198BA}"/>
            </a:ext>
          </a:extLst>
        </xdr:cNvPr>
        <xdr:cNvSpPr/>
      </xdr:nvSpPr>
      <xdr:spPr>
        <a:xfrm>
          <a:off x="2767818" y="495769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128414</xdr:colOff>
      <xdr:row>26</xdr:row>
      <xdr:rowOff>374874</xdr:rowOff>
    </xdr:from>
    <xdr:to>
      <xdr:col>3</xdr:col>
      <xdr:colOff>331125</xdr:colOff>
      <xdr:row>27</xdr:row>
      <xdr:rowOff>138009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8F19DEBF-D88F-4EFD-9507-96B65A8A1B77}"/>
            </a:ext>
          </a:extLst>
        </xdr:cNvPr>
        <xdr:cNvCxnSpPr>
          <a:stCxn id="32" idx="5"/>
          <a:endCxn id="19" idx="2"/>
        </xdr:cNvCxnSpPr>
      </xdr:nvCxnSpPr>
      <xdr:spPr>
        <a:xfrm flipH="1" flipV="1">
          <a:off x="974635" y="5676790"/>
          <a:ext cx="643869" cy="55721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CC72DF19-CBCB-4E57-AA4A-2FF1A75D98A9}"/>
            </a:ext>
          </a:extLst>
        </xdr:cNvPr>
        <xdr:cNvSpPr/>
      </xdr:nvSpPr>
      <xdr:spPr>
        <a:xfrm>
          <a:off x="1536383" y="28184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7145175-1BFA-4FCD-9B10-DFB751EB4D58}"/>
            </a:ext>
          </a:extLst>
        </xdr:cNvPr>
        <xdr:cNvSpPr/>
      </xdr:nvSpPr>
      <xdr:spPr>
        <a:xfrm>
          <a:off x="2090738" y="285178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5FF8F52-748A-4B38-B4F9-5CB5F5826F51}"/>
            </a:ext>
          </a:extLst>
        </xdr:cNvPr>
        <xdr:cNvSpPr/>
      </xdr:nvSpPr>
      <xdr:spPr>
        <a:xfrm>
          <a:off x="2700338" y="28279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44138011-E326-42F5-BA60-B11757A41010}"/>
            </a:ext>
          </a:extLst>
        </xdr:cNvPr>
        <xdr:cNvSpPr/>
      </xdr:nvSpPr>
      <xdr:spPr>
        <a:xfrm>
          <a:off x="3357563" y="282321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89163106-070C-4676-86AD-E37CEEED034D}"/>
            </a:ext>
          </a:extLst>
        </xdr:cNvPr>
        <xdr:cNvSpPr/>
      </xdr:nvSpPr>
      <xdr:spPr>
        <a:xfrm>
          <a:off x="3971925" y="281844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242888</xdr:colOff>
      <xdr:row>12</xdr:row>
      <xdr:rowOff>47625</xdr:rowOff>
    </xdr:from>
    <xdr:to>
      <xdr:col>5</xdr:col>
      <xdr:colOff>341030</xdr:colOff>
      <xdr:row>12</xdr:row>
      <xdr:rowOff>142013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0FEDC6F9-3062-4052-8E55-7EB337AB14AC}"/>
            </a:ext>
          </a:extLst>
        </xdr:cNvPr>
        <xdr:cNvSpPr/>
      </xdr:nvSpPr>
      <xdr:spPr>
        <a:xfrm>
          <a:off x="2495551" y="221456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240631</xdr:colOff>
      <xdr:row>13</xdr:row>
      <xdr:rowOff>40105</xdr:rowOff>
    </xdr:from>
    <xdr:to>
      <xdr:col>3</xdr:col>
      <xdr:colOff>338773</xdr:colOff>
      <xdr:row>13</xdr:row>
      <xdr:rowOff>134493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144C2509-7876-4339-B4B4-91B8FD2A4E79}"/>
            </a:ext>
          </a:extLst>
        </xdr:cNvPr>
        <xdr:cNvSpPr/>
      </xdr:nvSpPr>
      <xdr:spPr>
        <a:xfrm>
          <a:off x="2671010" y="24263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212558</xdr:colOff>
      <xdr:row>14</xdr:row>
      <xdr:rowOff>36095</xdr:rowOff>
    </xdr:from>
    <xdr:to>
      <xdr:col>1</xdr:col>
      <xdr:colOff>310700</xdr:colOff>
      <xdr:row>14</xdr:row>
      <xdr:rowOff>130483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598CDDFD-1B6D-4D77-AB65-114C1E6805ED}"/>
            </a:ext>
          </a:extLst>
        </xdr:cNvPr>
        <xdr:cNvSpPr/>
      </xdr:nvSpPr>
      <xdr:spPr>
        <a:xfrm>
          <a:off x="1423737" y="260684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236621</xdr:colOff>
      <xdr:row>15</xdr:row>
      <xdr:rowOff>12032</xdr:rowOff>
    </xdr:from>
    <xdr:to>
      <xdr:col>3</xdr:col>
      <xdr:colOff>334763</xdr:colOff>
      <xdr:row>15</xdr:row>
      <xdr:rowOff>106420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F3669F79-CB23-435F-AD38-C1A928EBF766}"/>
            </a:ext>
          </a:extLst>
        </xdr:cNvPr>
        <xdr:cNvSpPr/>
      </xdr:nvSpPr>
      <xdr:spPr>
        <a:xfrm>
          <a:off x="2667000" y="276726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224589</xdr:colOff>
      <xdr:row>16</xdr:row>
      <xdr:rowOff>40105</xdr:rowOff>
    </xdr:from>
    <xdr:to>
      <xdr:col>1</xdr:col>
      <xdr:colOff>322731</xdr:colOff>
      <xdr:row>16</xdr:row>
      <xdr:rowOff>134493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8A566A53-FE61-4044-9DC1-2D30B84CDA35}"/>
            </a:ext>
          </a:extLst>
        </xdr:cNvPr>
        <xdr:cNvSpPr/>
      </xdr:nvSpPr>
      <xdr:spPr>
        <a:xfrm>
          <a:off x="1435768" y="297982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224589</xdr:colOff>
      <xdr:row>17</xdr:row>
      <xdr:rowOff>44116</xdr:rowOff>
    </xdr:from>
    <xdr:to>
      <xdr:col>1</xdr:col>
      <xdr:colOff>322731</xdr:colOff>
      <xdr:row>17</xdr:row>
      <xdr:rowOff>138504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4A185790-D65F-47D8-B126-78B68F2722A3}"/>
            </a:ext>
          </a:extLst>
        </xdr:cNvPr>
        <xdr:cNvSpPr/>
      </xdr:nvSpPr>
      <xdr:spPr>
        <a:xfrm>
          <a:off x="1435768" y="316831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228600</xdr:colOff>
      <xdr:row>18</xdr:row>
      <xdr:rowOff>40106</xdr:rowOff>
    </xdr:from>
    <xdr:to>
      <xdr:col>3</xdr:col>
      <xdr:colOff>326742</xdr:colOff>
      <xdr:row>18</xdr:row>
      <xdr:rowOff>134494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80CA1572-0F1D-4998-B26F-C824D946DDCA}"/>
            </a:ext>
          </a:extLst>
        </xdr:cNvPr>
        <xdr:cNvSpPr/>
      </xdr:nvSpPr>
      <xdr:spPr>
        <a:xfrm>
          <a:off x="2658979" y="334879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208548</xdr:colOff>
      <xdr:row>19</xdr:row>
      <xdr:rowOff>48126</xdr:rowOff>
    </xdr:from>
    <xdr:to>
      <xdr:col>1</xdr:col>
      <xdr:colOff>306690</xdr:colOff>
      <xdr:row>19</xdr:row>
      <xdr:rowOff>142514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36B0A0F4-44D1-4E9F-AB0B-654B60E78F16}"/>
            </a:ext>
          </a:extLst>
        </xdr:cNvPr>
        <xdr:cNvSpPr/>
      </xdr:nvSpPr>
      <xdr:spPr>
        <a:xfrm>
          <a:off x="1419727" y="354129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232611</xdr:colOff>
      <xdr:row>20</xdr:row>
      <xdr:rowOff>48126</xdr:rowOff>
    </xdr:from>
    <xdr:to>
      <xdr:col>3</xdr:col>
      <xdr:colOff>330753</xdr:colOff>
      <xdr:row>20</xdr:row>
      <xdr:rowOff>142514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00248202-63B9-4589-83AA-47BA1FF68126}"/>
            </a:ext>
          </a:extLst>
        </xdr:cNvPr>
        <xdr:cNvSpPr/>
      </xdr:nvSpPr>
      <xdr:spPr>
        <a:xfrm>
          <a:off x="2662990" y="372577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200527</xdr:colOff>
      <xdr:row>21</xdr:row>
      <xdr:rowOff>48126</xdr:rowOff>
    </xdr:from>
    <xdr:to>
      <xdr:col>1</xdr:col>
      <xdr:colOff>298669</xdr:colOff>
      <xdr:row>21</xdr:row>
      <xdr:rowOff>142514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8BF2B8E3-D7F6-4BE1-88D1-05F535071F92}"/>
            </a:ext>
          </a:extLst>
        </xdr:cNvPr>
        <xdr:cNvSpPr/>
      </xdr:nvSpPr>
      <xdr:spPr>
        <a:xfrm>
          <a:off x="1411706" y="391026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232610</xdr:colOff>
      <xdr:row>22</xdr:row>
      <xdr:rowOff>48126</xdr:rowOff>
    </xdr:from>
    <xdr:to>
      <xdr:col>3</xdr:col>
      <xdr:colOff>330752</xdr:colOff>
      <xdr:row>22</xdr:row>
      <xdr:rowOff>142514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F81DEA78-C5C2-4972-A5A2-50595A9F48E4}"/>
            </a:ext>
          </a:extLst>
        </xdr:cNvPr>
        <xdr:cNvSpPr/>
      </xdr:nvSpPr>
      <xdr:spPr>
        <a:xfrm>
          <a:off x="2662989" y="409474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204537</xdr:colOff>
      <xdr:row>23</xdr:row>
      <xdr:rowOff>36094</xdr:rowOff>
    </xdr:from>
    <xdr:to>
      <xdr:col>1</xdr:col>
      <xdr:colOff>302679</xdr:colOff>
      <xdr:row>23</xdr:row>
      <xdr:rowOff>130482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4B4DB9E7-605A-40CA-AE7A-740A3709F6D6}"/>
            </a:ext>
          </a:extLst>
        </xdr:cNvPr>
        <xdr:cNvSpPr/>
      </xdr:nvSpPr>
      <xdr:spPr>
        <a:xfrm>
          <a:off x="1415716" y="426719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192505</xdr:colOff>
      <xdr:row>25</xdr:row>
      <xdr:rowOff>40105</xdr:rowOff>
    </xdr:from>
    <xdr:to>
      <xdr:col>1</xdr:col>
      <xdr:colOff>290647</xdr:colOff>
      <xdr:row>25</xdr:row>
      <xdr:rowOff>134493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8356A6B8-C8A6-4AF3-BC20-9B272AACC743}"/>
            </a:ext>
          </a:extLst>
        </xdr:cNvPr>
        <xdr:cNvSpPr/>
      </xdr:nvSpPr>
      <xdr:spPr>
        <a:xfrm>
          <a:off x="1403684" y="445569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236621</xdr:colOff>
      <xdr:row>26</xdr:row>
      <xdr:rowOff>48126</xdr:rowOff>
    </xdr:from>
    <xdr:to>
      <xdr:col>3</xdr:col>
      <xdr:colOff>334763</xdr:colOff>
      <xdr:row>26</xdr:row>
      <xdr:rowOff>142514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1AC45078-7977-417F-AAF3-C45A41C93A02}"/>
            </a:ext>
          </a:extLst>
        </xdr:cNvPr>
        <xdr:cNvSpPr/>
      </xdr:nvSpPr>
      <xdr:spPr>
        <a:xfrm>
          <a:off x="2667000" y="46482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232610</xdr:colOff>
      <xdr:row>27</xdr:row>
      <xdr:rowOff>36095</xdr:rowOff>
    </xdr:from>
    <xdr:to>
      <xdr:col>2</xdr:col>
      <xdr:colOff>330752</xdr:colOff>
      <xdr:row>27</xdr:row>
      <xdr:rowOff>130483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433A329F-35E5-4F87-B9C3-20C6ADD66384}"/>
            </a:ext>
          </a:extLst>
        </xdr:cNvPr>
        <xdr:cNvSpPr/>
      </xdr:nvSpPr>
      <xdr:spPr>
        <a:xfrm>
          <a:off x="2053389" y="482065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240631</xdr:colOff>
      <xdr:row>12</xdr:row>
      <xdr:rowOff>94819</xdr:rowOff>
    </xdr:from>
    <xdr:to>
      <xdr:col>5</xdr:col>
      <xdr:colOff>341030</xdr:colOff>
      <xdr:row>13</xdr:row>
      <xdr:rowOff>87299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F44C67C-2EAA-4E1E-8DA2-12F97EE51264}"/>
            </a:ext>
          </a:extLst>
        </xdr:cNvPr>
        <xdr:cNvCxnSpPr>
          <a:stCxn id="7" idx="6"/>
          <a:endCxn id="8" idx="2"/>
        </xdr:cNvCxnSpPr>
      </xdr:nvCxnSpPr>
      <xdr:spPr>
        <a:xfrm flipH="1">
          <a:off x="1564606" y="2261757"/>
          <a:ext cx="1029087" cy="1734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256674</xdr:colOff>
      <xdr:row>13</xdr:row>
      <xdr:rowOff>100263</xdr:rowOff>
    </xdr:from>
    <xdr:to>
      <xdr:col>3</xdr:col>
      <xdr:colOff>263847</xdr:colOff>
      <xdr:row>14</xdr:row>
      <xdr:rowOff>71535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E1CE6CAE-1B81-42C2-9047-25957B53E595}"/>
            </a:ext>
          </a:extLst>
        </xdr:cNvPr>
        <xdr:cNvCxnSpPr/>
      </xdr:nvCxnSpPr>
      <xdr:spPr>
        <a:xfrm flipH="1">
          <a:off x="1467853" y="2486526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310700</xdr:colOff>
      <xdr:row>14</xdr:row>
      <xdr:rowOff>83289</xdr:rowOff>
    </xdr:from>
    <xdr:to>
      <xdr:col>3</xdr:col>
      <xdr:colOff>334763</xdr:colOff>
      <xdr:row>15</xdr:row>
      <xdr:rowOff>59226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3D1066D-FFCE-4418-915D-1BF4F8B7119D}"/>
            </a:ext>
          </a:extLst>
        </xdr:cNvPr>
        <xdr:cNvCxnSpPr>
          <a:stCxn id="10" idx="6"/>
          <a:endCxn id="9" idx="6"/>
        </xdr:cNvCxnSpPr>
      </xdr:nvCxnSpPr>
      <xdr:spPr>
        <a:xfrm flipH="1" flipV="1">
          <a:off x="1523804" y="2637513"/>
          <a:ext cx="1243263" cy="15881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322731</xdr:colOff>
      <xdr:row>15</xdr:row>
      <xdr:rowOff>76200</xdr:rowOff>
    </xdr:from>
    <xdr:to>
      <xdr:col>3</xdr:col>
      <xdr:colOff>305877</xdr:colOff>
      <xdr:row>16</xdr:row>
      <xdr:rowOff>87299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EAFC251A-B346-4F89-95FE-87F9D2211135}"/>
            </a:ext>
          </a:extLst>
        </xdr:cNvPr>
        <xdr:cNvCxnSpPr>
          <a:endCxn id="11" idx="6"/>
        </xdr:cNvCxnSpPr>
      </xdr:nvCxnSpPr>
      <xdr:spPr>
        <a:xfrm flipH="1">
          <a:off x="1535835" y="2813304"/>
          <a:ext cx="1202346" cy="19397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273660</xdr:colOff>
      <xdr:row>16</xdr:row>
      <xdr:rowOff>90541</xdr:rowOff>
    </xdr:from>
    <xdr:to>
      <xdr:col>1</xdr:col>
      <xdr:colOff>274092</xdr:colOff>
      <xdr:row>17</xdr:row>
      <xdr:rowOff>138504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DF45ADC5-3021-4449-A609-409597DA469A}"/>
            </a:ext>
          </a:extLst>
        </xdr:cNvPr>
        <xdr:cNvCxnSpPr>
          <a:stCxn id="12" idx="4"/>
        </xdr:cNvCxnSpPr>
      </xdr:nvCxnSpPr>
      <xdr:spPr>
        <a:xfrm flipV="1">
          <a:off x="1486375" y="2989384"/>
          <a:ext cx="432" cy="22954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268309</xdr:colOff>
      <xdr:row>18</xdr:row>
      <xdr:rowOff>96592</xdr:rowOff>
    </xdr:from>
    <xdr:to>
      <xdr:col>3</xdr:col>
      <xdr:colOff>275482</xdr:colOff>
      <xdr:row>19</xdr:row>
      <xdr:rowOff>69897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B536B49-CAA8-456F-B97A-9A133FB01400}"/>
            </a:ext>
          </a:extLst>
        </xdr:cNvPr>
        <xdr:cNvCxnSpPr/>
      </xdr:nvCxnSpPr>
      <xdr:spPr>
        <a:xfrm flipH="1">
          <a:off x="1478923" y="3374265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306690</xdr:colOff>
      <xdr:row>19</xdr:row>
      <xdr:rowOff>95320</xdr:rowOff>
    </xdr:from>
    <xdr:to>
      <xdr:col>3</xdr:col>
      <xdr:colOff>330753</xdr:colOff>
      <xdr:row>20</xdr:row>
      <xdr:rowOff>95320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84E78B02-E007-4E89-A85E-B4A4F9C8D19D}"/>
            </a:ext>
          </a:extLst>
        </xdr:cNvPr>
        <xdr:cNvCxnSpPr>
          <a:stCxn id="15" idx="6"/>
          <a:endCxn id="14" idx="6"/>
        </xdr:cNvCxnSpPr>
      </xdr:nvCxnSpPr>
      <xdr:spPr>
        <a:xfrm flipH="1" flipV="1">
          <a:off x="1517304" y="3555444"/>
          <a:ext cx="1243263" cy="18245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257577</xdr:colOff>
      <xdr:row>20</xdr:row>
      <xdr:rowOff>109470</xdr:rowOff>
    </xdr:from>
    <xdr:to>
      <xdr:col>3</xdr:col>
      <xdr:colOff>264750</xdr:colOff>
      <xdr:row>21</xdr:row>
      <xdr:rowOff>82776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7A08100-8717-41B7-AA01-704E8037EE58}"/>
            </a:ext>
          </a:extLst>
        </xdr:cNvPr>
        <xdr:cNvCxnSpPr/>
      </xdr:nvCxnSpPr>
      <xdr:spPr>
        <a:xfrm flipH="1">
          <a:off x="1468191" y="3752045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214900</xdr:colOff>
      <xdr:row>21</xdr:row>
      <xdr:rowOff>128691</xdr:rowOff>
    </xdr:from>
    <xdr:to>
      <xdr:col>3</xdr:col>
      <xdr:colOff>330752</xdr:colOff>
      <xdr:row>22</xdr:row>
      <xdr:rowOff>95320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8B3C56F-9669-44DC-9B3C-CD4F9AA9ED1A}"/>
            </a:ext>
          </a:extLst>
        </xdr:cNvPr>
        <xdr:cNvCxnSpPr>
          <a:stCxn id="17" idx="6"/>
          <a:endCxn id="16" idx="3"/>
        </xdr:cNvCxnSpPr>
      </xdr:nvCxnSpPr>
      <xdr:spPr>
        <a:xfrm flipH="1" flipV="1">
          <a:off x="1425514" y="3953716"/>
          <a:ext cx="1335052" cy="14908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300507</xdr:colOff>
      <xdr:row>22</xdr:row>
      <xdr:rowOff>100884</xdr:rowOff>
    </xdr:from>
    <xdr:to>
      <xdr:col>3</xdr:col>
      <xdr:colOff>307680</xdr:colOff>
      <xdr:row>23</xdr:row>
      <xdr:rowOff>74189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2D09FF4-70D1-4280-A01C-F1A3139FDC9D}"/>
            </a:ext>
          </a:extLst>
        </xdr:cNvPr>
        <xdr:cNvCxnSpPr/>
      </xdr:nvCxnSpPr>
      <xdr:spPr>
        <a:xfrm flipH="1">
          <a:off x="1511121" y="4108360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290647</xdr:colOff>
      <xdr:row>25</xdr:row>
      <xdr:rowOff>87299</xdr:rowOff>
    </xdr:from>
    <xdr:to>
      <xdr:col>3</xdr:col>
      <xdr:colOff>334763</xdr:colOff>
      <xdr:row>26</xdr:row>
      <xdr:rowOff>95320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FC947D6-8BD1-43A0-B8F4-338FCE211958}"/>
            </a:ext>
          </a:extLst>
        </xdr:cNvPr>
        <xdr:cNvCxnSpPr>
          <a:stCxn id="20" idx="6"/>
          <a:endCxn id="19" idx="6"/>
        </xdr:cNvCxnSpPr>
      </xdr:nvCxnSpPr>
      <xdr:spPr>
        <a:xfrm flipH="1" flipV="1">
          <a:off x="1502227" y="4468799"/>
          <a:ext cx="1263316" cy="19090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232610</xdr:colOff>
      <xdr:row>26</xdr:row>
      <xdr:rowOff>100852</xdr:rowOff>
    </xdr:from>
    <xdr:to>
      <xdr:col>3</xdr:col>
      <xdr:colOff>316455</xdr:colOff>
      <xdr:row>27</xdr:row>
      <xdr:rowOff>83289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DFB8A1E-F884-47F9-B9DC-C995251CE854}"/>
            </a:ext>
          </a:extLst>
        </xdr:cNvPr>
        <xdr:cNvCxnSpPr>
          <a:endCxn id="21" idx="2"/>
        </xdr:cNvCxnSpPr>
      </xdr:nvCxnSpPr>
      <xdr:spPr>
        <a:xfrm flipH="1">
          <a:off x="2054036" y="4643355"/>
          <a:ext cx="693445" cy="16433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217251</xdr:colOff>
      <xdr:row>17</xdr:row>
      <xdr:rowOff>101890</xdr:rowOff>
    </xdr:from>
    <xdr:to>
      <xdr:col>3</xdr:col>
      <xdr:colOff>242973</xdr:colOff>
      <xdr:row>18</xdr:row>
      <xdr:rowOff>53929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14EFB15-46BA-4001-8CDC-E65CA4C314D6}"/>
            </a:ext>
          </a:extLst>
        </xdr:cNvPr>
        <xdr:cNvCxnSpPr>
          <a:stCxn id="13" idx="1"/>
        </xdr:cNvCxnSpPr>
      </xdr:nvCxnSpPr>
      <xdr:spPr>
        <a:xfrm flipH="1" flipV="1">
          <a:off x="1429966" y="3182316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28</xdr:row>
      <xdr:rowOff>57444</xdr:rowOff>
    </xdr:from>
    <xdr:to>
      <xdr:col>3</xdr:col>
      <xdr:colOff>345498</xdr:colOff>
      <xdr:row>28</xdr:row>
      <xdr:rowOff>151832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E8973D6D-8220-4755-8FA6-E83B307FE0C3}"/>
            </a:ext>
          </a:extLst>
        </xdr:cNvPr>
        <xdr:cNvSpPr/>
      </xdr:nvSpPr>
      <xdr:spPr>
        <a:xfrm>
          <a:off x="2769576" y="498758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236706</xdr:colOff>
      <xdr:row>27</xdr:row>
      <xdr:rowOff>86105</xdr:rowOff>
    </xdr:from>
    <xdr:to>
      <xdr:col>3</xdr:col>
      <xdr:colOff>331125</xdr:colOff>
      <xdr:row>28</xdr:row>
      <xdr:rowOff>138009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BAF3B242-497D-4284-BF85-BD7021D7A95B}"/>
            </a:ext>
          </a:extLst>
        </xdr:cNvPr>
        <xdr:cNvCxnSpPr>
          <a:stCxn id="23" idx="5"/>
        </xdr:cNvCxnSpPr>
      </xdr:nvCxnSpPr>
      <xdr:spPr>
        <a:xfrm flipH="1" flipV="1">
          <a:off x="2149326" y="4833365"/>
          <a:ext cx="704019" cy="2347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228603</xdr:colOff>
      <xdr:row>24</xdr:row>
      <xdr:rowOff>0</xdr:rowOff>
    </xdr:from>
    <xdr:to>
      <xdr:col>3</xdr:col>
      <xdr:colOff>326745</xdr:colOff>
      <xdr:row>24</xdr:row>
      <xdr:rowOff>94388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A58213DE-744E-43EA-9AAD-54649D5BAEF9}"/>
            </a:ext>
          </a:extLst>
        </xdr:cNvPr>
        <xdr:cNvSpPr/>
      </xdr:nvSpPr>
      <xdr:spPr>
        <a:xfrm>
          <a:off x="2657478" y="433863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209550</xdr:colOff>
      <xdr:row>23</xdr:row>
      <xdr:rowOff>100012</xdr:rowOff>
    </xdr:from>
    <xdr:to>
      <xdr:col>3</xdr:col>
      <xdr:colOff>325402</xdr:colOff>
      <xdr:row>24</xdr:row>
      <xdr:rowOff>66641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F40BBCB-D96C-463A-BB01-E7DB20F7F414}"/>
            </a:ext>
          </a:extLst>
        </xdr:cNvPr>
        <xdr:cNvCxnSpPr/>
      </xdr:nvCxnSpPr>
      <xdr:spPr>
        <a:xfrm flipH="1" flipV="1">
          <a:off x="1419225" y="4257675"/>
          <a:ext cx="1335052" cy="14760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276274</xdr:colOff>
      <xdr:row>24</xdr:row>
      <xdr:rowOff>61913</xdr:rowOff>
    </xdr:from>
    <xdr:to>
      <xdr:col>3</xdr:col>
      <xdr:colOff>288160</xdr:colOff>
      <xdr:row>25</xdr:row>
      <xdr:rowOff>53928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3435345A-0011-435E-9378-499A36C4FC48}"/>
            </a:ext>
          </a:extLst>
        </xdr:cNvPr>
        <xdr:cNvCxnSpPr>
          <a:endCxn id="19" idx="7"/>
        </xdr:cNvCxnSpPr>
      </xdr:nvCxnSpPr>
      <xdr:spPr>
        <a:xfrm flipH="1">
          <a:off x="1485949" y="4400551"/>
          <a:ext cx="1231086" cy="17299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C4E8FD27-B12F-4C96-BA4E-75570056F3D9}"/>
            </a:ext>
          </a:extLst>
        </xdr:cNvPr>
        <xdr:cNvSpPr/>
      </xdr:nvSpPr>
      <xdr:spPr>
        <a:xfrm>
          <a:off x="1536383" y="28184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1F3DC5-73E1-45A6-95AA-903D8467049C}"/>
            </a:ext>
          </a:extLst>
        </xdr:cNvPr>
        <xdr:cNvSpPr/>
      </xdr:nvSpPr>
      <xdr:spPr>
        <a:xfrm>
          <a:off x="2090738" y="285178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CF7E611-1601-4800-B6FA-24405E2BF7FF}"/>
            </a:ext>
          </a:extLst>
        </xdr:cNvPr>
        <xdr:cNvSpPr/>
      </xdr:nvSpPr>
      <xdr:spPr>
        <a:xfrm>
          <a:off x="2700338" y="28279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E4396580-2281-4AF7-824F-62B94A0674E1}"/>
            </a:ext>
          </a:extLst>
        </xdr:cNvPr>
        <xdr:cNvSpPr/>
      </xdr:nvSpPr>
      <xdr:spPr>
        <a:xfrm>
          <a:off x="3357563" y="282321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F4FD77B9-1F73-43A0-A047-1F8015B910A7}"/>
            </a:ext>
          </a:extLst>
        </xdr:cNvPr>
        <xdr:cNvSpPr/>
      </xdr:nvSpPr>
      <xdr:spPr>
        <a:xfrm>
          <a:off x="3971925" y="281844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234756</xdr:colOff>
      <xdr:row>12</xdr:row>
      <xdr:rowOff>30189</xdr:rowOff>
    </xdr:from>
    <xdr:to>
      <xdr:col>5</xdr:col>
      <xdr:colOff>332898</xdr:colOff>
      <xdr:row>12</xdr:row>
      <xdr:rowOff>124577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E7F1DC4B-8D6E-4DD6-BD00-878B4C65532B}"/>
            </a:ext>
          </a:extLst>
        </xdr:cNvPr>
        <xdr:cNvSpPr/>
      </xdr:nvSpPr>
      <xdr:spPr>
        <a:xfrm>
          <a:off x="3731935" y="22319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260195</xdr:colOff>
      <xdr:row>13</xdr:row>
      <xdr:rowOff>44281</xdr:rowOff>
    </xdr:from>
    <xdr:to>
      <xdr:col>3</xdr:col>
      <xdr:colOff>358337</xdr:colOff>
      <xdr:row>13</xdr:row>
      <xdr:rowOff>135275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06A1D277-625B-4AF0-8CF2-E00E9B082D64}"/>
            </a:ext>
          </a:extLst>
        </xdr:cNvPr>
        <xdr:cNvSpPr/>
      </xdr:nvSpPr>
      <xdr:spPr>
        <a:xfrm>
          <a:off x="2538761" y="2404622"/>
          <a:ext cx="98142" cy="90994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230458</xdr:colOff>
      <xdr:row>14</xdr:row>
      <xdr:rowOff>48322</xdr:rowOff>
    </xdr:from>
    <xdr:to>
      <xdr:col>1</xdr:col>
      <xdr:colOff>328600</xdr:colOff>
      <xdr:row>14</xdr:row>
      <xdr:rowOff>142710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720882DA-EBF3-4D59-AA2C-5C96FC5DB3A4}"/>
            </a:ext>
          </a:extLst>
        </xdr:cNvPr>
        <xdr:cNvSpPr/>
      </xdr:nvSpPr>
      <xdr:spPr>
        <a:xfrm>
          <a:off x="1289824" y="25908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267629</xdr:colOff>
      <xdr:row>15</xdr:row>
      <xdr:rowOff>44605</xdr:rowOff>
    </xdr:from>
    <xdr:to>
      <xdr:col>3</xdr:col>
      <xdr:colOff>365771</xdr:colOff>
      <xdr:row>15</xdr:row>
      <xdr:rowOff>138993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6BD8BC43-469A-4B5B-8719-0D7B5EAF1DD1}"/>
            </a:ext>
          </a:extLst>
        </xdr:cNvPr>
        <xdr:cNvSpPr/>
      </xdr:nvSpPr>
      <xdr:spPr>
        <a:xfrm>
          <a:off x="2546195" y="276922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256478</xdr:colOff>
      <xdr:row>17</xdr:row>
      <xdr:rowOff>37170</xdr:rowOff>
    </xdr:from>
    <xdr:to>
      <xdr:col>3</xdr:col>
      <xdr:colOff>354620</xdr:colOff>
      <xdr:row>17</xdr:row>
      <xdr:rowOff>131558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B095D008-DE28-47BC-9034-7FB546DD1904}"/>
            </a:ext>
          </a:extLst>
        </xdr:cNvPr>
        <xdr:cNvSpPr/>
      </xdr:nvSpPr>
      <xdr:spPr>
        <a:xfrm>
          <a:off x="2535044" y="312605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219308</xdr:colOff>
      <xdr:row>16</xdr:row>
      <xdr:rowOff>44605</xdr:rowOff>
    </xdr:from>
    <xdr:to>
      <xdr:col>1</xdr:col>
      <xdr:colOff>317450</xdr:colOff>
      <xdr:row>16</xdr:row>
      <xdr:rowOff>138993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AC831721-B33C-4597-BC25-5DDD2EFF82E4}"/>
            </a:ext>
          </a:extLst>
        </xdr:cNvPr>
        <xdr:cNvSpPr/>
      </xdr:nvSpPr>
      <xdr:spPr>
        <a:xfrm>
          <a:off x="1278674" y="295135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215590</xdr:colOff>
      <xdr:row>18</xdr:row>
      <xdr:rowOff>40888</xdr:rowOff>
    </xdr:from>
    <xdr:to>
      <xdr:col>1</xdr:col>
      <xdr:colOff>313732</xdr:colOff>
      <xdr:row>18</xdr:row>
      <xdr:rowOff>135276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B5B5A839-1D4E-4F73-8D2E-D19525F15277}"/>
            </a:ext>
          </a:extLst>
        </xdr:cNvPr>
        <xdr:cNvSpPr/>
      </xdr:nvSpPr>
      <xdr:spPr>
        <a:xfrm>
          <a:off x="1274956" y="331191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219307</xdr:colOff>
      <xdr:row>19</xdr:row>
      <xdr:rowOff>40887</xdr:rowOff>
    </xdr:from>
    <xdr:to>
      <xdr:col>1</xdr:col>
      <xdr:colOff>317449</xdr:colOff>
      <xdr:row>19</xdr:row>
      <xdr:rowOff>135275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C7A926BD-244E-4AE3-B3B8-7EC42641DA1E}"/>
            </a:ext>
          </a:extLst>
        </xdr:cNvPr>
        <xdr:cNvSpPr/>
      </xdr:nvSpPr>
      <xdr:spPr>
        <a:xfrm>
          <a:off x="1278673" y="349404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256478</xdr:colOff>
      <xdr:row>20</xdr:row>
      <xdr:rowOff>37170</xdr:rowOff>
    </xdr:from>
    <xdr:to>
      <xdr:col>3</xdr:col>
      <xdr:colOff>354620</xdr:colOff>
      <xdr:row>20</xdr:row>
      <xdr:rowOff>131558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1FF9396A-EC4F-499B-B9A8-A332007D2E33}"/>
            </a:ext>
          </a:extLst>
        </xdr:cNvPr>
        <xdr:cNvSpPr/>
      </xdr:nvSpPr>
      <xdr:spPr>
        <a:xfrm>
          <a:off x="2535044" y="36724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208156</xdr:colOff>
      <xdr:row>21</xdr:row>
      <xdr:rowOff>37171</xdr:rowOff>
    </xdr:from>
    <xdr:to>
      <xdr:col>1</xdr:col>
      <xdr:colOff>306298</xdr:colOff>
      <xdr:row>21</xdr:row>
      <xdr:rowOff>131559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91F545FB-518A-419B-AD9D-6BAAE6EA2EEE}"/>
            </a:ext>
          </a:extLst>
        </xdr:cNvPr>
        <xdr:cNvSpPr/>
      </xdr:nvSpPr>
      <xdr:spPr>
        <a:xfrm>
          <a:off x="1267522" y="385460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252761</xdr:colOff>
      <xdr:row>22</xdr:row>
      <xdr:rowOff>40888</xdr:rowOff>
    </xdr:from>
    <xdr:to>
      <xdr:col>3</xdr:col>
      <xdr:colOff>350903</xdr:colOff>
      <xdr:row>22</xdr:row>
      <xdr:rowOff>135276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79A91A55-93CA-44D8-99F2-EEF7261E652E}"/>
            </a:ext>
          </a:extLst>
        </xdr:cNvPr>
        <xdr:cNvSpPr/>
      </xdr:nvSpPr>
      <xdr:spPr>
        <a:xfrm>
          <a:off x="2531327" y="404045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208156</xdr:colOff>
      <xdr:row>23</xdr:row>
      <xdr:rowOff>48322</xdr:rowOff>
    </xdr:from>
    <xdr:to>
      <xdr:col>1</xdr:col>
      <xdr:colOff>306298</xdr:colOff>
      <xdr:row>23</xdr:row>
      <xdr:rowOff>142710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300E7723-D3FD-4562-93B9-3C051FED858B}"/>
            </a:ext>
          </a:extLst>
        </xdr:cNvPr>
        <xdr:cNvSpPr/>
      </xdr:nvSpPr>
      <xdr:spPr>
        <a:xfrm>
          <a:off x="1267522" y="423002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230458</xdr:colOff>
      <xdr:row>24</xdr:row>
      <xdr:rowOff>40888</xdr:rowOff>
    </xdr:from>
    <xdr:to>
      <xdr:col>3</xdr:col>
      <xdr:colOff>328600</xdr:colOff>
      <xdr:row>24</xdr:row>
      <xdr:rowOff>135276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8494C5E5-7C14-4057-A564-85541EB1A2C9}"/>
            </a:ext>
          </a:extLst>
        </xdr:cNvPr>
        <xdr:cNvSpPr/>
      </xdr:nvSpPr>
      <xdr:spPr>
        <a:xfrm>
          <a:off x="2509024" y="440473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256478</xdr:colOff>
      <xdr:row>25</xdr:row>
      <xdr:rowOff>40888</xdr:rowOff>
    </xdr:from>
    <xdr:to>
      <xdr:col>2</xdr:col>
      <xdr:colOff>354620</xdr:colOff>
      <xdr:row>25</xdr:row>
      <xdr:rowOff>135276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E69F6481-30CE-4160-AF9C-0F892536DF89}"/>
            </a:ext>
          </a:extLst>
        </xdr:cNvPr>
        <xdr:cNvSpPr/>
      </xdr:nvSpPr>
      <xdr:spPr>
        <a:xfrm>
          <a:off x="1925444" y="45868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340247</xdr:colOff>
      <xdr:row>24</xdr:row>
      <xdr:rowOff>96643</xdr:rowOff>
    </xdr:from>
    <xdr:to>
      <xdr:col>3</xdr:col>
      <xdr:colOff>319407</xdr:colOff>
      <xdr:row>25</xdr:row>
      <xdr:rowOff>54711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292BCE0-DE94-42FE-AAE7-01FAC3622713}"/>
            </a:ext>
          </a:extLst>
        </xdr:cNvPr>
        <xdr:cNvCxnSpPr>
          <a:endCxn id="20" idx="7"/>
        </xdr:cNvCxnSpPr>
      </xdr:nvCxnSpPr>
      <xdr:spPr>
        <a:xfrm flipH="1">
          <a:off x="2009213" y="4460487"/>
          <a:ext cx="588760" cy="14020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301083</xdr:colOff>
      <xdr:row>13</xdr:row>
      <xdr:rowOff>100361</xdr:rowOff>
    </xdr:from>
    <xdr:to>
      <xdr:col>3</xdr:col>
      <xdr:colOff>284229</xdr:colOff>
      <xdr:row>14</xdr:row>
      <xdr:rowOff>110906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14D5633-9531-46AA-BDE9-2850E7F10D3E}"/>
            </a:ext>
          </a:extLst>
        </xdr:cNvPr>
        <xdr:cNvCxnSpPr/>
      </xdr:nvCxnSpPr>
      <xdr:spPr>
        <a:xfrm flipH="1">
          <a:off x="1360449" y="2460702"/>
          <a:ext cx="1202346" cy="1926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312234</xdr:colOff>
      <xdr:row>15</xdr:row>
      <xdr:rowOff>89210</xdr:rowOff>
    </xdr:from>
    <xdr:to>
      <xdr:col>3</xdr:col>
      <xdr:colOff>295380</xdr:colOff>
      <xdr:row>16</xdr:row>
      <xdr:rowOff>99756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9976100-3122-476C-9C27-1C2653FC0256}"/>
            </a:ext>
          </a:extLst>
        </xdr:cNvPr>
        <xdr:cNvCxnSpPr/>
      </xdr:nvCxnSpPr>
      <xdr:spPr>
        <a:xfrm flipH="1">
          <a:off x="1371600" y="2813825"/>
          <a:ext cx="1202346" cy="1926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282497</xdr:colOff>
      <xdr:row>17</xdr:row>
      <xdr:rowOff>85492</xdr:rowOff>
    </xdr:from>
    <xdr:to>
      <xdr:col>3</xdr:col>
      <xdr:colOff>265643</xdr:colOff>
      <xdr:row>18</xdr:row>
      <xdr:rowOff>96038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44402C8-8C56-4D8E-AE4D-C8AB26C64DCC}"/>
            </a:ext>
          </a:extLst>
        </xdr:cNvPr>
        <xdr:cNvCxnSpPr/>
      </xdr:nvCxnSpPr>
      <xdr:spPr>
        <a:xfrm flipH="1">
          <a:off x="1341863" y="3174380"/>
          <a:ext cx="1202346" cy="1926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308517</xdr:colOff>
      <xdr:row>20</xdr:row>
      <xdr:rowOff>74341</xdr:rowOff>
    </xdr:from>
    <xdr:to>
      <xdr:col>3</xdr:col>
      <xdr:colOff>291663</xdr:colOff>
      <xdr:row>21</xdr:row>
      <xdr:rowOff>84887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97CEBCA-1144-438A-A5F5-A6ED62B7FA31}"/>
            </a:ext>
          </a:extLst>
        </xdr:cNvPr>
        <xdr:cNvCxnSpPr/>
      </xdr:nvCxnSpPr>
      <xdr:spPr>
        <a:xfrm flipH="1">
          <a:off x="1367883" y="3709639"/>
          <a:ext cx="1202346" cy="1926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289931</xdr:colOff>
      <xdr:row>22</xdr:row>
      <xdr:rowOff>92926</xdr:rowOff>
    </xdr:from>
    <xdr:to>
      <xdr:col>3</xdr:col>
      <xdr:colOff>273077</xdr:colOff>
      <xdr:row>23</xdr:row>
      <xdr:rowOff>103472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9CABA57-0A74-4A30-87D5-70187862D02A}"/>
            </a:ext>
          </a:extLst>
        </xdr:cNvPr>
        <xdr:cNvCxnSpPr/>
      </xdr:nvCxnSpPr>
      <xdr:spPr>
        <a:xfrm flipH="1">
          <a:off x="1349297" y="4092497"/>
          <a:ext cx="1202346" cy="1926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267629</xdr:colOff>
      <xdr:row>14</xdr:row>
      <xdr:rowOff>115230</xdr:rowOff>
    </xdr:from>
    <xdr:to>
      <xdr:col>3</xdr:col>
      <xdr:colOff>293351</xdr:colOff>
      <xdr:row>15</xdr:row>
      <xdr:rowOff>66715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C7B330E-143D-46FE-9590-1F4F0B8B9C63}"/>
            </a:ext>
          </a:extLst>
        </xdr:cNvPr>
        <xdr:cNvCxnSpPr/>
      </xdr:nvCxnSpPr>
      <xdr:spPr>
        <a:xfrm flipH="1" flipV="1">
          <a:off x="1326995" y="2657708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297366</xdr:colOff>
      <xdr:row>16</xdr:row>
      <xdr:rowOff>111513</xdr:rowOff>
    </xdr:from>
    <xdr:to>
      <xdr:col>3</xdr:col>
      <xdr:colOff>323088</xdr:colOff>
      <xdr:row>17</xdr:row>
      <xdr:rowOff>62998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846166B-DEDC-4D90-8877-6336855D392B}"/>
            </a:ext>
          </a:extLst>
        </xdr:cNvPr>
        <xdr:cNvCxnSpPr/>
      </xdr:nvCxnSpPr>
      <xdr:spPr>
        <a:xfrm flipH="1" flipV="1">
          <a:off x="1356732" y="3018264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245327</xdr:colOff>
      <xdr:row>19</xdr:row>
      <xdr:rowOff>111513</xdr:rowOff>
    </xdr:from>
    <xdr:to>
      <xdr:col>3</xdr:col>
      <xdr:colOff>271049</xdr:colOff>
      <xdr:row>20</xdr:row>
      <xdr:rowOff>62998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51D013C6-4F68-4E1A-87F4-CF91F62F1668}"/>
            </a:ext>
          </a:extLst>
        </xdr:cNvPr>
        <xdr:cNvCxnSpPr/>
      </xdr:nvCxnSpPr>
      <xdr:spPr>
        <a:xfrm flipH="1" flipV="1">
          <a:off x="1304693" y="3564674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275063</xdr:colOff>
      <xdr:row>21</xdr:row>
      <xdr:rowOff>100361</xdr:rowOff>
    </xdr:from>
    <xdr:to>
      <xdr:col>3</xdr:col>
      <xdr:colOff>300785</xdr:colOff>
      <xdr:row>22</xdr:row>
      <xdr:rowOff>51846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2CC641A-B939-426D-AA7A-B654BF2E228C}"/>
            </a:ext>
          </a:extLst>
        </xdr:cNvPr>
        <xdr:cNvCxnSpPr/>
      </xdr:nvCxnSpPr>
      <xdr:spPr>
        <a:xfrm flipH="1" flipV="1">
          <a:off x="1334429" y="3917795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241610</xdr:colOff>
      <xdr:row>23</xdr:row>
      <xdr:rowOff>126380</xdr:rowOff>
    </xdr:from>
    <xdr:to>
      <xdr:col>3</xdr:col>
      <xdr:colOff>267332</xdr:colOff>
      <xdr:row>24</xdr:row>
      <xdr:rowOff>77865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1D0D9FD-F308-4397-B31D-45B5B29005EB}"/>
            </a:ext>
          </a:extLst>
        </xdr:cNvPr>
        <xdr:cNvCxnSpPr/>
      </xdr:nvCxnSpPr>
      <xdr:spPr>
        <a:xfrm flipH="1" flipV="1">
          <a:off x="1300976" y="4308087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263912</xdr:colOff>
      <xdr:row>18</xdr:row>
      <xdr:rowOff>85492</xdr:rowOff>
    </xdr:from>
    <xdr:to>
      <xdr:col>1</xdr:col>
      <xdr:colOff>264344</xdr:colOff>
      <xdr:row>19</xdr:row>
      <xdr:rowOff>132901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A5458148-2614-48AE-972C-36716EEBCF02}"/>
            </a:ext>
          </a:extLst>
        </xdr:cNvPr>
        <xdr:cNvCxnSpPr/>
      </xdr:nvCxnSpPr>
      <xdr:spPr>
        <a:xfrm flipV="1">
          <a:off x="1323278" y="3356516"/>
          <a:ext cx="432" cy="22954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12</xdr:row>
      <xdr:rowOff>76200</xdr:rowOff>
    </xdr:from>
    <xdr:to>
      <xdr:col>5</xdr:col>
      <xdr:colOff>297471</xdr:colOff>
      <xdr:row>13</xdr:row>
      <xdr:rowOff>86745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F4EF6B8-4E02-4B7F-952F-4D943BCDEBF9}"/>
            </a:ext>
          </a:extLst>
        </xdr:cNvPr>
        <xdr:cNvCxnSpPr/>
      </xdr:nvCxnSpPr>
      <xdr:spPr>
        <a:xfrm flipH="1">
          <a:off x="2590800" y="2243138"/>
          <a:ext cx="1202346" cy="1915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26</xdr:row>
      <xdr:rowOff>57444</xdr:rowOff>
    </xdr:from>
    <xdr:to>
      <xdr:col>3</xdr:col>
      <xdr:colOff>345498</xdr:colOff>
      <xdr:row>26</xdr:row>
      <xdr:rowOff>151832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FCFE9414-84C8-46AF-AA2D-457F1140C111}"/>
            </a:ext>
          </a:extLst>
        </xdr:cNvPr>
        <xdr:cNvSpPr/>
      </xdr:nvSpPr>
      <xdr:spPr>
        <a:xfrm>
          <a:off x="2678136" y="498758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256478</xdr:colOff>
      <xdr:row>25</xdr:row>
      <xdr:rowOff>88082</xdr:rowOff>
    </xdr:from>
    <xdr:to>
      <xdr:col>3</xdr:col>
      <xdr:colOff>331125</xdr:colOff>
      <xdr:row>26</xdr:row>
      <xdr:rowOff>138009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2F7A0A5-0B58-4E21-BC9F-70499006163C}"/>
            </a:ext>
          </a:extLst>
        </xdr:cNvPr>
        <xdr:cNvCxnSpPr>
          <a:stCxn id="27" idx="5"/>
          <a:endCxn id="20" idx="2"/>
        </xdr:cNvCxnSpPr>
      </xdr:nvCxnSpPr>
      <xdr:spPr>
        <a:xfrm flipH="1" flipV="1">
          <a:off x="1186118" y="5422082"/>
          <a:ext cx="531847" cy="24804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FE08200C-002E-4245-8D3C-F3DF0274C5C5}"/>
            </a:ext>
          </a:extLst>
        </xdr:cNvPr>
        <xdr:cNvSpPr/>
      </xdr:nvSpPr>
      <xdr:spPr>
        <a:xfrm>
          <a:off x="1536383" y="28184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2AF4436-852F-49FB-9ECE-DC6D69454021}"/>
            </a:ext>
          </a:extLst>
        </xdr:cNvPr>
        <xdr:cNvSpPr/>
      </xdr:nvSpPr>
      <xdr:spPr>
        <a:xfrm>
          <a:off x="2090738" y="285178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640C63F-9ED3-4FAF-8F20-691E23132234}"/>
            </a:ext>
          </a:extLst>
        </xdr:cNvPr>
        <xdr:cNvSpPr/>
      </xdr:nvSpPr>
      <xdr:spPr>
        <a:xfrm>
          <a:off x="2700338" y="28279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6169607F-C4D7-4611-A05D-2F9829EE6D56}"/>
            </a:ext>
          </a:extLst>
        </xdr:cNvPr>
        <xdr:cNvSpPr/>
      </xdr:nvSpPr>
      <xdr:spPr>
        <a:xfrm>
          <a:off x="3357563" y="282321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FAA0DA9A-E32D-478A-B232-A26737B3A866}"/>
            </a:ext>
          </a:extLst>
        </xdr:cNvPr>
        <xdr:cNvSpPr/>
      </xdr:nvSpPr>
      <xdr:spPr>
        <a:xfrm>
          <a:off x="3971925" y="281844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235131</xdr:colOff>
      <xdr:row>12</xdr:row>
      <xdr:rowOff>52251</xdr:rowOff>
    </xdr:from>
    <xdr:to>
      <xdr:col>5</xdr:col>
      <xdr:colOff>333273</xdr:colOff>
      <xdr:row>12</xdr:row>
      <xdr:rowOff>146639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0E57B6E6-3850-4243-9DA6-94CC196195B7}"/>
            </a:ext>
          </a:extLst>
        </xdr:cNvPr>
        <xdr:cNvSpPr/>
      </xdr:nvSpPr>
      <xdr:spPr>
        <a:xfrm>
          <a:off x="3709851" y="223810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239486</xdr:colOff>
      <xdr:row>13</xdr:row>
      <xdr:rowOff>47897</xdr:rowOff>
    </xdr:from>
    <xdr:to>
      <xdr:col>3</xdr:col>
      <xdr:colOff>337628</xdr:colOff>
      <xdr:row>13</xdr:row>
      <xdr:rowOff>142285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7A244E93-CF06-4D72-9E92-0BDE35A90535}"/>
            </a:ext>
          </a:extLst>
        </xdr:cNvPr>
        <xdr:cNvSpPr/>
      </xdr:nvSpPr>
      <xdr:spPr>
        <a:xfrm>
          <a:off x="2495006" y="241662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243840</xdr:colOff>
      <xdr:row>14</xdr:row>
      <xdr:rowOff>69669</xdr:rowOff>
    </xdr:from>
    <xdr:to>
      <xdr:col>1</xdr:col>
      <xdr:colOff>341982</xdr:colOff>
      <xdr:row>14</xdr:row>
      <xdr:rowOff>164057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D3835F94-6D72-430A-A9DE-C71FA4D5B1F0}"/>
            </a:ext>
          </a:extLst>
        </xdr:cNvPr>
        <xdr:cNvSpPr/>
      </xdr:nvSpPr>
      <xdr:spPr>
        <a:xfrm>
          <a:off x="1280160" y="262128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230777</xdr:colOff>
      <xdr:row>15</xdr:row>
      <xdr:rowOff>56606</xdr:rowOff>
    </xdr:from>
    <xdr:to>
      <xdr:col>3</xdr:col>
      <xdr:colOff>328919</xdr:colOff>
      <xdr:row>15</xdr:row>
      <xdr:rowOff>150994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A57078BB-172F-4A0B-BD58-6DCE0C9437E6}"/>
            </a:ext>
          </a:extLst>
        </xdr:cNvPr>
        <xdr:cNvSpPr/>
      </xdr:nvSpPr>
      <xdr:spPr>
        <a:xfrm>
          <a:off x="2486297" y="279109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226423</xdr:colOff>
      <xdr:row>16</xdr:row>
      <xdr:rowOff>56606</xdr:rowOff>
    </xdr:from>
    <xdr:to>
      <xdr:col>1</xdr:col>
      <xdr:colOff>324565</xdr:colOff>
      <xdr:row>16</xdr:row>
      <xdr:rowOff>150994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F17246A4-1FFA-458F-B314-588328975D3B}"/>
            </a:ext>
          </a:extLst>
        </xdr:cNvPr>
        <xdr:cNvSpPr/>
      </xdr:nvSpPr>
      <xdr:spPr>
        <a:xfrm>
          <a:off x="1262743" y="297397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222069</xdr:colOff>
      <xdr:row>17</xdr:row>
      <xdr:rowOff>47898</xdr:rowOff>
    </xdr:from>
    <xdr:to>
      <xdr:col>3</xdr:col>
      <xdr:colOff>320211</xdr:colOff>
      <xdr:row>17</xdr:row>
      <xdr:rowOff>142286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F6D1C4E4-BE77-4D0F-BB3A-70561A1DBB2C}"/>
            </a:ext>
          </a:extLst>
        </xdr:cNvPr>
        <xdr:cNvSpPr/>
      </xdr:nvSpPr>
      <xdr:spPr>
        <a:xfrm>
          <a:off x="2477589" y="314814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230777</xdr:colOff>
      <xdr:row>18</xdr:row>
      <xdr:rowOff>34834</xdr:rowOff>
    </xdr:from>
    <xdr:to>
      <xdr:col>1</xdr:col>
      <xdr:colOff>328919</xdr:colOff>
      <xdr:row>18</xdr:row>
      <xdr:rowOff>129222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9749C05D-3E2C-4396-88F9-2DB914367806}"/>
            </a:ext>
          </a:extLst>
        </xdr:cNvPr>
        <xdr:cNvSpPr/>
      </xdr:nvSpPr>
      <xdr:spPr>
        <a:xfrm>
          <a:off x="1267097" y="331796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239485</xdr:colOff>
      <xdr:row>19</xdr:row>
      <xdr:rowOff>52252</xdr:rowOff>
    </xdr:from>
    <xdr:to>
      <xdr:col>1</xdr:col>
      <xdr:colOff>337627</xdr:colOff>
      <xdr:row>19</xdr:row>
      <xdr:rowOff>146640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FEEE550D-DFC4-4342-AF4B-ECC7C9603241}"/>
            </a:ext>
          </a:extLst>
        </xdr:cNvPr>
        <xdr:cNvSpPr/>
      </xdr:nvSpPr>
      <xdr:spPr>
        <a:xfrm>
          <a:off x="1275805" y="351826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235132</xdr:colOff>
      <xdr:row>20</xdr:row>
      <xdr:rowOff>60959</xdr:rowOff>
    </xdr:from>
    <xdr:to>
      <xdr:col>1</xdr:col>
      <xdr:colOff>333274</xdr:colOff>
      <xdr:row>20</xdr:row>
      <xdr:rowOff>155347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FC758048-167A-4FB4-9BAB-878F0CF9A079}"/>
            </a:ext>
          </a:extLst>
        </xdr:cNvPr>
        <xdr:cNvSpPr/>
      </xdr:nvSpPr>
      <xdr:spPr>
        <a:xfrm>
          <a:off x="1271452" y="370985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239486</xdr:colOff>
      <xdr:row>21</xdr:row>
      <xdr:rowOff>39189</xdr:rowOff>
    </xdr:from>
    <xdr:to>
      <xdr:col>3</xdr:col>
      <xdr:colOff>337628</xdr:colOff>
      <xdr:row>21</xdr:row>
      <xdr:rowOff>133577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C7008E36-7A1D-45F9-8270-2106AB118B87}"/>
            </a:ext>
          </a:extLst>
        </xdr:cNvPr>
        <xdr:cNvSpPr/>
      </xdr:nvSpPr>
      <xdr:spPr>
        <a:xfrm>
          <a:off x="2495006" y="387096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230778</xdr:colOff>
      <xdr:row>22</xdr:row>
      <xdr:rowOff>34834</xdr:rowOff>
    </xdr:from>
    <xdr:to>
      <xdr:col>1</xdr:col>
      <xdr:colOff>328920</xdr:colOff>
      <xdr:row>22</xdr:row>
      <xdr:rowOff>129222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B661C683-D945-4C79-88A5-E9C43A3AE067}"/>
            </a:ext>
          </a:extLst>
        </xdr:cNvPr>
        <xdr:cNvSpPr/>
      </xdr:nvSpPr>
      <xdr:spPr>
        <a:xfrm>
          <a:off x="1267098" y="404948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235132</xdr:colOff>
      <xdr:row>23</xdr:row>
      <xdr:rowOff>43543</xdr:rowOff>
    </xdr:from>
    <xdr:to>
      <xdr:col>3</xdr:col>
      <xdr:colOff>333274</xdr:colOff>
      <xdr:row>23</xdr:row>
      <xdr:rowOff>137931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4039C852-127B-4A33-B1F1-9876540D6B69}"/>
            </a:ext>
          </a:extLst>
        </xdr:cNvPr>
        <xdr:cNvSpPr/>
      </xdr:nvSpPr>
      <xdr:spPr>
        <a:xfrm>
          <a:off x="2490652" y="424107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226423</xdr:colOff>
      <xdr:row>24</xdr:row>
      <xdr:rowOff>43543</xdr:rowOff>
    </xdr:from>
    <xdr:to>
      <xdr:col>1</xdr:col>
      <xdr:colOff>324565</xdr:colOff>
      <xdr:row>24</xdr:row>
      <xdr:rowOff>137931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4D6CA7C3-BA04-45E4-98C5-911ECFBBB9CD}"/>
            </a:ext>
          </a:extLst>
        </xdr:cNvPr>
        <xdr:cNvSpPr/>
      </xdr:nvSpPr>
      <xdr:spPr>
        <a:xfrm>
          <a:off x="1262743" y="442395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235131</xdr:colOff>
      <xdr:row>25</xdr:row>
      <xdr:rowOff>30480</xdr:rowOff>
    </xdr:from>
    <xdr:to>
      <xdr:col>3</xdr:col>
      <xdr:colOff>333273</xdr:colOff>
      <xdr:row>25</xdr:row>
      <xdr:rowOff>124868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1DB3F2BA-C2C9-4AD8-8874-8906CD1E998F}"/>
            </a:ext>
          </a:extLst>
        </xdr:cNvPr>
        <xdr:cNvSpPr/>
      </xdr:nvSpPr>
      <xdr:spPr>
        <a:xfrm>
          <a:off x="2490651" y="459377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230777</xdr:colOff>
      <xdr:row>26</xdr:row>
      <xdr:rowOff>43543</xdr:rowOff>
    </xdr:from>
    <xdr:to>
      <xdr:col>2</xdr:col>
      <xdr:colOff>328919</xdr:colOff>
      <xdr:row>26</xdr:row>
      <xdr:rowOff>137931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CBFE61AB-5927-4831-9711-B296B273A4B5}"/>
            </a:ext>
          </a:extLst>
        </xdr:cNvPr>
        <xdr:cNvSpPr/>
      </xdr:nvSpPr>
      <xdr:spPr>
        <a:xfrm>
          <a:off x="1876697" y="478971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330926</xdr:colOff>
      <xdr:row>13</xdr:row>
      <xdr:rowOff>91440</xdr:rowOff>
    </xdr:from>
    <xdr:to>
      <xdr:col>3</xdr:col>
      <xdr:colOff>314072</xdr:colOff>
      <xdr:row>14</xdr:row>
      <xdr:rowOff>103036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FF1DFA7-0B4D-408A-946C-607A0091A18E}"/>
            </a:ext>
          </a:extLst>
        </xdr:cNvPr>
        <xdr:cNvCxnSpPr/>
      </xdr:nvCxnSpPr>
      <xdr:spPr>
        <a:xfrm flipH="1">
          <a:off x="1367246" y="2460171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278674</xdr:colOff>
      <xdr:row>15</xdr:row>
      <xdr:rowOff>95795</xdr:rowOff>
    </xdr:from>
    <xdr:to>
      <xdr:col>3</xdr:col>
      <xdr:colOff>261820</xdr:colOff>
      <xdr:row>16</xdr:row>
      <xdr:rowOff>107391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3893C55-8FB5-46DB-83E7-66B66983A0FB}"/>
            </a:ext>
          </a:extLst>
        </xdr:cNvPr>
        <xdr:cNvCxnSpPr/>
      </xdr:nvCxnSpPr>
      <xdr:spPr>
        <a:xfrm flipH="1">
          <a:off x="1314994" y="2830286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317863</xdr:colOff>
      <xdr:row>17</xdr:row>
      <xdr:rowOff>74023</xdr:rowOff>
    </xdr:from>
    <xdr:to>
      <xdr:col>3</xdr:col>
      <xdr:colOff>301009</xdr:colOff>
      <xdr:row>18</xdr:row>
      <xdr:rowOff>85619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966F32A-976C-4CCE-8780-B259C90B5D6F}"/>
            </a:ext>
          </a:extLst>
        </xdr:cNvPr>
        <xdr:cNvCxnSpPr/>
      </xdr:nvCxnSpPr>
      <xdr:spPr>
        <a:xfrm flipH="1">
          <a:off x="1354183" y="3174274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319811</xdr:colOff>
      <xdr:row>21</xdr:row>
      <xdr:rowOff>67720</xdr:rowOff>
    </xdr:from>
    <xdr:to>
      <xdr:col>3</xdr:col>
      <xdr:colOff>302957</xdr:colOff>
      <xdr:row>22</xdr:row>
      <xdr:rowOff>79316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BCF6038-4BB3-4B32-8348-73D5E06ABA04}"/>
            </a:ext>
          </a:extLst>
        </xdr:cNvPr>
        <xdr:cNvCxnSpPr/>
      </xdr:nvCxnSpPr>
      <xdr:spPr>
        <a:xfrm flipH="1">
          <a:off x="1354527" y="3929857"/>
          <a:ext cx="1202346" cy="19608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283028</xdr:colOff>
      <xdr:row>23</xdr:row>
      <xdr:rowOff>78377</xdr:rowOff>
    </xdr:from>
    <xdr:to>
      <xdr:col>3</xdr:col>
      <xdr:colOff>266174</xdr:colOff>
      <xdr:row>24</xdr:row>
      <xdr:rowOff>89973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A5CC760-BBB8-4FCA-AC2C-A3234217049C}"/>
            </a:ext>
          </a:extLst>
        </xdr:cNvPr>
        <xdr:cNvCxnSpPr/>
      </xdr:nvCxnSpPr>
      <xdr:spPr>
        <a:xfrm flipH="1">
          <a:off x="1319348" y="4275908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283029</xdr:colOff>
      <xdr:row>14</xdr:row>
      <xdr:rowOff>148046</xdr:rowOff>
    </xdr:from>
    <xdr:to>
      <xdr:col>3</xdr:col>
      <xdr:colOff>308751</xdr:colOff>
      <xdr:row>15</xdr:row>
      <xdr:rowOff>100582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305BDA2-1204-4357-9B62-F8CA856EF031}"/>
            </a:ext>
          </a:extLst>
        </xdr:cNvPr>
        <xdr:cNvCxnSpPr/>
      </xdr:nvCxnSpPr>
      <xdr:spPr>
        <a:xfrm flipH="1" flipV="1">
          <a:off x="1319349" y="2699657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287383</xdr:colOff>
      <xdr:row>16</xdr:row>
      <xdr:rowOff>134982</xdr:rowOff>
    </xdr:from>
    <xdr:to>
      <xdr:col>3</xdr:col>
      <xdr:colOff>313105</xdr:colOff>
      <xdr:row>17</xdr:row>
      <xdr:rowOff>87518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82E5049C-7DBF-4C33-8D95-01C7E4E6BCF4}"/>
            </a:ext>
          </a:extLst>
        </xdr:cNvPr>
        <xdr:cNvCxnSpPr/>
      </xdr:nvCxnSpPr>
      <xdr:spPr>
        <a:xfrm flipH="1" flipV="1">
          <a:off x="1323703" y="3052353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256903</xdr:colOff>
      <xdr:row>20</xdr:row>
      <xdr:rowOff>117566</xdr:rowOff>
    </xdr:from>
    <xdr:to>
      <xdr:col>3</xdr:col>
      <xdr:colOff>282625</xdr:colOff>
      <xdr:row>21</xdr:row>
      <xdr:rowOff>70102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D73AC54-8C20-46D2-AC48-EC68108703D9}"/>
            </a:ext>
          </a:extLst>
        </xdr:cNvPr>
        <xdr:cNvCxnSpPr/>
      </xdr:nvCxnSpPr>
      <xdr:spPr>
        <a:xfrm flipH="1" flipV="1">
          <a:off x="1293223" y="3766457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235131</xdr:colOff>
      <xdr:row>22</xdr:row>
      <xdr:rowOff>87086</xdr:rowOff>
    </xdr:from>
    <xdr:to>
      <xdr:col>3</xdr:col>
      <xdr:colOff>318901</xdr:colOff>
      <xdr:row>23</xdr:row>
      <xdr:rowOff>57366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89A20F7-5364-468D-B2F9-72D5BDA5A06D}"/>
            </a:ext>
          </a:extLst>
        </xdr:cNvPr>
        <xdr:cNvCxnSpPr>
          <a:stCxn id="19" idx="7"/>
        </xdr:cNvCxnSpPr>
      </xdr:nvCxnSpPr>
      <xdr:spPr>
        <a:xfrm flipH="1" flipV="1">
          <a:off x="1269847" y="4133707"/>
          <a:ext cx="1302970" cy="15476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260685</xdr:colOff>
      <xdr:row>24</xdr:row>
      <xdr:rowOff>116306</xdr:rowOff>
    </xdr:from>
    <xdr:to>
      <xdr:col>3</xdr:col>
      <xdr:colOff>286407</xdr:colOff>
      <xdr:row>25</xdr:row>
      <xdr:rowOff>67237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E6FA7D1-1701-4152-8475-B97EF440A9B2}"/>
            </a:ext>
          </a:extLst>
        </xdr:cNvPr>
        <xdr:cNvCxnSpPr/>
      </xdr:nvCxnSpPr>
      <xdr:spPr>
        <a:xfrm flipH="1" flipV="1">
          <a:off x="1295401" y="4531895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328919</xdr:colOff>
      <xdr:row>25</xdr:row>
      <xdr:rowOff>111045</xdr:rowOff>
    </xdr:from>
    <xdr:to>
      <xdr:col>3</xdr:col>
      <xdr:colOff>249504</xdr:colOff>
      <xdr:row>26</xdr:row>
      <xdr:rowOff>90737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A7D3E6C6-A990-4185-B9F0-AB1F531070C5}"/>
            </a:ext>
          </a:extLst>
        </xdr:cNvPr>
        <xdr:cNvCxnSpPr>
          <a:stCxn id="21" idx="3"/>
          <a:endCxn id="23" idx="6"/>
        </xdr:cNvCxnSpPr>
      </xdr:nvCxnSpPr>
      <xdr:spPr>
        <a:xfrm flipH="1">
          <a:off x="1973235" y="4711119"/>
          <a:ext cx="530185" cy="1641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272716</xdr:colOff>
      <xdr:row>12</xdr:row>
      <xdr:rowOff>99445</xdr:rowOff>
    </xdr:from>
    <xdr:to>
      <xdr:col>5</xdr:col>
      <xdr:colOff>333273</xdr:colOff>
      <xdr:row>13</xdr:row>
      <xdr:rowOff>104274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D56E6ED4-B372-4B7E-99BB-B9C6FA8654E9}"/>
            </a:ext>
          </a:extLst>
        </xdr:cNvPr>
        <xdr:cNvCxnSpPr>
          <a:stCxn id="7" idx="6"/>
        </xdr:cNvCxnSpPr>
      </xdr:nvCxnSpPr>
      <xdr:spPr>
        <a:xfrm flipH="1">
          <a:off x="2526632" y="2301224"/>
          <a:ext cx="1279757" cy="1893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279848</xdr:colOff>
      <xdr:row>18</xdr:row>
      <xdr:rowOff>129222</xdr:rowOff>
    </xdr:from>
    <xdr:to>
      <xdr:col>1</xdr:col>
      <xdr:colOff>284203</xdr:colOff>
      <xdr:row>20</xdr:row>
      <xdr:rowOff>60959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6CD6BCB-3A3B-4F03-98C0-4B370117ED9D}"/>
            </a:ext>
          </a:extLst>
        </xdr:cNvPr>
        <xdr:cNvCxnSpPr>
          <a:stCxn id="13" idx="4"/>
          <a:endCxn id="16" idx="0"/>
        </xdr:cNvCxnSpPr>
      </xdr:nvCxnSpPr>
      <xdr:spPr>
        <a:xfrm>
          <a:off x="1314564" y="3437906"/>
          <a:ext cx="4355" cy="3007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27</xdr:row>
      <xdr:rowOff>57444</xdr:rowOff>
    </xdr:from>
    <xdr:to>
      <xdr:col>3</xdr:col>
      <xdr:colOff>345498</xdr:colOff>
      <xdr:row>27</xdr:row>
      <xdr:rowOff>151832</xdr:rowOff>
    </xdr:to>
    <xdr:sp macro="" textlink="">
      <xdr:nvSpPr>
        <xdr:cNvPr id="38" name="Flowchart: Connector 37">
          <a:extLst>
            <a:ext uri="{FF2B5EF4-FFF2-40B4-BE49-F238E27FC236}">
              <a16:creationId xmlns:a16="http://schemas.microsoft.com/office/drawing/2014/main" id="{554CBF49-064B-4779-94CD-091927470DA9}"/>
            </a:ext>
          </a:extLst>
        </xdr:cNvPr>
        <xdr:cNvSpPr/>
      </xdr:nvSpPr>
      <xdr:spPr>
        <a:xfrm>
          <a:off x="2525736" y="480470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314546</xdr:colOff>
      <xdr:row>26</xdr:row>
      <xdr:rowOff>124108</xdr:rowOff>
    </xdr:from>
    <xdr:to>
      <xdr:col>3</xdr:col>
      <xdr:colOff>331125</xdr:colOff>
      <xdr:row>27</xdr:row>
      <xdr:rowOff>138009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C9E36F47-0619-4D81-AF59-BA85F4AA43CD}"/>
            </a:ext>
          </a:extLst>
        </xdr:cNvPr>
        <xdr:cNvCxnSpPr>
          <a:stCxn id="38" idx="5"/>
          <a:endCxn id="23" idx="5"/>
        </xdr:cNvCxnSpPr>
      </xdr:nvCxnSpPr>
      <xdr:spPr>
        <a:xfrm flipH="1" flipV="1">
          <a:off x="1960466" y="4870279"/>
          <a:ext cx="626179" cy="1967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7F51E283-1785-4FF0-ACF2-DBDA0E9D1CA3}"/>
            </a:ext>
          </a:extLst>
        </xdr:cNvPr>
        <xdr:cNvSpPr/>
      </xdr:nvSpPr>
      <xdr:spPr>
        <a:xfrm>
          <a:off x="1536383" y="28184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27F0606-5A4A-4440-B868-6A137D7403D4}"/>
            </a:ext>
          </a:extLst>
        </xdr:cNvPr>
        <xdr:cNvSpPr/>
      </xdr:nvSpPr>
      <xdr:spPr>
        <a:xfrm>
          <a:off x="2090738" y="285178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9F708CB-57AA-4926-886C-C53DE3487628}"/>
            </a:ext>
          </a:extLst>
        </xdr:cNvPr>
        <xdr:cNvSpPr/>
      </xdr:nvSpPr>
      <xdr:spPr>
        <a:xfrm>
          <a:off x="2700338" y="28279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DCA4ACB3-BF92-4587-B770-34082EE7A5F2}"/>
            </a:ext>
          </a:extLst>
        </xdr:cNvPr>
        <xdr:cNvSpPr/>
      </xdr:nvSpPr>
      <xdr:spPr>
        <a:xfrm>
          <a:off x="3357563" y="282321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10D27D97-F3F5-4D7D-8A29-79F6E9B1AA71}"/>
            </a:ext>
          </a:extLst>
        </xdr:cNvPr>
        <xdr:cNvSpPr/>
      </xdr:nvSpPr>
      <xdr:spPr>
        <a:xfrm>
          <a:off x="3971925" y="281844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249550</xdr:colOff>
      <xdr:row>12</xdr:row>
      <xdr:rowOff>30751</xdr:rowOff>
    </xdr:from>
    <xdr:to>
      <xdr:col>5</xdr:col>
      <xdr:colOff>347692</xdr:colOff>
      <xdr:row>12</xdr:row>
      <xdr:rowOff>125139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776E4C13-8088-4AEB-AEA9-9E647AA8C43D}"/>
            </a:ext>
          </a:extLst>
        </xdr:cNvPr>
        <xdr:cNvSpPr/>
      </xdr:nvSpPr>
      <xdr:spPr>
        <a:xfrm>
          <a:off x="3747823" y="222323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260195</xdr:colOff>
      <xdr:row>14</xdr:row>
      <xdr:rowOff>48322</xdr:rowOff>
    </xdr:from>
    <xdr:to>
      <xdr:col>1</xdr:col>
      <xdr:colOff>358337</xdr:colOff>
      <xdr:row>14</xdr:row>
      <xdr:rowOff>142710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C29045E9-8C62-413C-8B0D-BC8426A906FC}"/>
            </a:ext>
          </a:extLst>
        </xdr:cNvPr>
        <xdr:cNvSpPr/>
      </xdr:nvSpPr>
      <xdr:spPr>
        <a:xfrm>
          <a:off x="1319561" y="25908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237893</xdr:colOff>
      <xdr:row>15</xdr:row>
      <xdr:rowOff>63190</xdr:rowOff>
    </xdr:from>
    <xdr:to>
      <xdr:col>3</xdr:col>
      <xdr:colOff>336035</xdr:colOff>
      <xdr:row>15</xdr:row>
      <xdr:rowOff>157578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6DB83BF4-F390-48E9-A67D-EA7C68FDF2DF}"/>
            </a:ext>
          </a:extLst>
        </xdr:cNvPr>
        <xdr:cNvSpPr/>
      </xdr:nvSpPr>
      <xdr:spPr>
        <a:xfrm>
          <a:off x="2516459" y="278780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223025</xdr:colOff>
      <xdr:row>16</xdr:row>
      <xdr:rowOff>44605</xdr:rowOff>
    </xdr:from>
    <xdr:to>
      <xdr:col>1</xdr:col>
      <xdr:colOff>321167</xdr:colOff>
      <xdr:row>16</xdr:row>
      <xdr:rowOff>138993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0394BC22-1E0F-44B0-8289-47AB2F65E2DC}"/>
            </a:ext>
          </a:extLst>
        </xdr:cNvPr>
        <xdr:cNvSpPr/>
      </xdr:nvSpPr>
      <xdr:spPr>
        <a:xfrm>
          <a:off x="1282391" y="295135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256478</xdr:colOff>
      <xdr:row>17</xdr:row>
      <xdr:rowOff>26019</xdr:rowOff>
    </xdr:from>
    <xdr:to>
      <xdr:col>3</xdr:col>
      <xdr:colOff>354620</xdr:colOff>
      <xdr:row>17</xdr:row>
      <xdr:rowOff>120407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D7F06C0D-D95D-41FA-951A-87BC926FB088}"/>
            </a:ext>
          </a:extLst>
        </xdr:cNvPr>
        <xdr:cNvSpPr/>
      </xdr:nvSpPr>
      <xdr:spPr>
        <a:xfrm>
          <a:off x="2535044" y="311490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230459</xdr:colOff>
      <xdr:row>18</xdr:row>
      <xdr:rowOff>40888</xdr:rowOff>
    </xdr:from>
    <xdr:to>
      <xdr:col>1</xdr:col>
      <xdr:colOff>328601</xdr:colOff>
      <xdr:row>18</xdr:row>
      <xdr:rowOff>135276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8FC567A1-6C78-486E-B94E-A60F02B0550E}"/>
            </a:ext>
          </a:extLst>
        </xdr:cNvPr>
        <xdr:cNvSpPr/>
      </xdr:nvSpPr>
      <xdr:spPr>
        <a:xfrm>
          <a:off x="1289825" y="331191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256478</xdr:colOff>
      <xdr:row>19</xdr:row>
      <xdr:rowOff>63190</xdr:rowOff>
    </xdr:from>
    <xdr:to>
      <xdr:col>3</xdr:col>
      <xdr:colOff>354620</xdr:colOff>
      <xdr:row>19</xdr:row>
      <xdr:rowOff>157578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92B9EF31-11FF-4DDE-9834-A1CE3FA6EDF2}"/>
            </a:ext>
          </a:extLst>
        </xdr:cNvPr>
        <xdr:cNvSpPr/>
      </xdr:nvSpPr>
      <xdr:spPr>
        <a:xfrm>
          <a:off x="2535044" y="351635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208156</xdr:colOff>
      <xdr:row>20</xdr:row>
      <xdr:rowOff>37170</xdr:rowOff>
    </xdr:from>
    <xdr:to>
      <xdr:col>1</xdr:col>
      <xdr:colOff>306298</xdr:colOff>
      <xdr:row>20</xdr:row>
      <xdr:rowOff>131558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11E96F1E-3BF6-4213-9B4A-B00E4985F45F}"/>
            </a:ext>
          </a:extLst>
        </xdr:cNvPr>
        <xdr:cNvSpPr/>
      </xdr:nvSpPr>
      <xdr:spPr>
        <a:xfrm>
          <a:off x="1267522" y="36724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252761</xdr:colOff>
      <xdr:row>21</xdr:row>
      <xdr:rowOff>44604</xdr:rowOff>
    </xdr:from>
    <xdr:to>
      <xdr:col>3</xdr:col>
      <xdr:colOff>350903</xdr:colOff>
      <xdr:row>21</xdr:row>
      <xdr:rowOff>138992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E72CC956-DBA3-417F-97AE-1ED603B6FBD1}"/>
            </a:ext>
          </a:extLst>
        </xdr:cNvPr>
        <xdr:cNvSpPr/>
      </xdr:nvSpPr>
      <xdr:spPr>
        <a:xfrm>
          <a:off x="2531327" y="386203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230458</xdr:colOff>
      <xdr:row>22</xdr:row>
      <xdr:rowOff>33453</xdr:rowOff>
    </xdr:from>
    <xdr:to>
      <xdr:col>1</xdr:col>
      <xdr:colOff>328600</xdr:colOff>
      <xdr:row>22</xdr:row>
      <xdr:rowOff>127841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12ABD4D5-772E-461F-9F3A-FB13895E0A9E}"/>
            </a:ext>
          </a:extLst>
        </xdr:cNvPr>
        <xdr:cNvSpPr/>
      </xdr:nvSpPr>
      <xdr:spPr>
        <a:xfrm>
          <a:off x="1289824" y="403302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245327</xdr:colOff>
      <xdr:row>23</xdr:row>
      <xdr:rowOff>40888</xdr:rowOff>
    </xdr:from>
    <xdr:to>
      <xdr:col>3</xdr:col>
      <xdr:colOff>343469</xdr:colOff>
      <xdr:row>23</xdr:row>
      <xdr:rowOff>135276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92E5E3E1-A8C7-4988-8ECE-D0EA9D61F79F}"/>
            </a:ext>
          </a:extLst>
        </xdr:cNvPr>
        <xdr:cNvSpPr/>
      </xdr:nvSpPr>
      <xdr:spPr>
        <a:xfrm>
          <a:off x="2523893" y="422259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226742</xdr:colOff>
      <xdr:row>24</xdr:row>
      <xdr:rowOff>48322</xdr:rowOff>
    </xdr:from>
    <xdr:to>
      <xdr:col>1</xdr:col>
      <xdr:colOff>324884</xdr:colOff>
      <xdr:row>24</xdr:row>
      <xdr:rowOff>142710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68DE1ED0-5EAA-4680-9371-9D5406E734D3}"/>
            </a:ext>
          </a:extLst>
        </xdr:cNvPr>
        <xdr:cNvSpPr/>
      </xdr:nvSpPr>
      <xdr:spPr>
        <a:xfrm>
          <a:off x="1286108" y="441216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245327</xdr:colOff>
      <xdr:row>25</xdr:row>
      <xdr:rowOff>29736</xdr:rowOff>
    </xdr:from>
    <xdr:to>
      <xdr:col>3</xdr:col>
      <xdr:colOff>343469</xdr:colOff>
      <xdr:row>25</xdr:row>
      <xdr:rowOff>124124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07FEE1E7-8D60-4C71-B986-075B118A6950}"/>
            </a:ext>
          </a:extLst>
        </xdr:cNvPr>
        <xdr:cNvSpPr/>
      </xdr:nvSpPr>
      <xdr:spPr>
        <a:xfrm>
          <a:off x="2523893" y="457571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197005</xdr:colOff>
      <xdr:row>26</xdr:row>
      <xdr:rowOff>40888</xdr:rowOff>
    </xdr:from>
    <xdr:to>
      <xdr:col>1</xdr:col>
      <xdr:colOff>295147</xdr:colOff>
      <xdr:row>26</xdr:row>
      <xdr:rowOff>135276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99B936E8-28F0-410F-A693-53CB0AE3A4C3}"/>
            </a:ext>
          </a:extLst>
        </xdr:cNvPr>
        <xdr:cNvSpPr/>
      </xdr:nvSpPr>
      <xdr:spPr>
        <a:xfrm>
          <a:off x="1256371" y="476900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245327</xdr:colOff>
      <xdr:row>27</xdr:row>
      <xdr:rowOff>52039</xdr:rowOff>
    </xdr:from>
    <xdr:to>
      <xdr:col>3</xdr:col>
      <xdr:colOff>343469</xdr:colOff>
      <xdr:row>27</xdr:row>
      <xdr:rowOff>146427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3703CE51-A5E0-4F33-BCB1-E9ED13B262E3}"/>
            </a:ext>
          </a:extLst>
        </xdr:cNvPr>
        <xdr:cNvSpPr/>
      </xdr:nvSpPr>
      <xdr:spPr>
        <a:xfrm>
          <a:off x="2523893" y="496229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228600</xdr:colOff>
      <xdr:row>28</xdr:row>
      <xdr:rowOff>48490</xdr:rowOff>
    </xdr:from>
    <xdr:to>
      <xdr:col>2</xdr:col>
      <xdr:colOff>326742</xdr:colOff>
      <xdr:row>28</xdr:row>
      <xdr:rowOff>142878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84A535C4-CA53-469B-883B-465A27412542}"/>
            </a:ext>
          </a:extLst>
        </xdr:cNvPr>
        <xdr:cNvSpPr/>
      </xdr:nvSpPr>
      <xdr:spPr>
        <a:xfrm>
          <a:off x="1898073" y="517813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309266</xdr:colOff>
      <xdr:row>13</xdr:row>
      <xdr:rowOff>80211</xdr:rowOff>
    </xdr:from>
    <xdr:to>
      <xdr:col>3</xdr:col>
      <xdr:colOff>317945</xdr:colOff>
      <xdr:row>14</xdr:row>
      <xdr:rowOff>48322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53E826E-E53F-4076-9D51-6D3021C9FBEB}"/>
            </a:ext>
          </a:extLst>
        </xdr:cNvPr>
        <xdr:cNvCxnSpPr>
          <a:cxnSpLocks/>
          <a:endCxn id="9" idx="0"/>
        </xdr:cNvCxnSpPr>
      </xdr:nvCxnSpPr>
      <xdr:spPr>
        <a:xfrm flipH="1">
          <a:off x="697455" y="2648007"/>
          <a:ext cx="877071" cy="16651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256309</xdr:colOff>
      <xdr:row>15</xdr:row>
      <xdr:rowOff>110836</xdr:rowOff>
    </xdr:from>
    <xdr:to>
      <xdr:col>3</xdr:col>
      <xdr:colOff>239455</xdr:colOff>
      <xdr:row>16</xdr:row>
      <xdr:rowOff>121739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A91CAD4-81DB-473B-BE48-3F013A12E585}"/>
            </a:ext>
          </a:extLst>
        </xdr:cNvPr>
        <xdr:cNvCxnSpPr/>
      </xdr:nvCxnSpPr>
      <xdr:spPr>
        <a:xfrm flipH="1">
          <a:off x="1316182" y="2854036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325582</xdr:colOff>
      <xdr:row>17</xdr:row>
      <xdr:rowOff>69273</xdr:rowOff>
    </xdr:from>
    <xdr:to>
      <xdr:col>3</xdr:col>
      <xdr:colOff>308728</xdr:colOff>
      <xdr:row>18</xdr:row>
      <xdr:rowOff>80176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7DCCBC0-2223-4058-AA03-5B824D9CA173}"/>
            </a:ext>
          </a:extLst>
        </xdr:cNvPr>
        <xdr:cNvCxnSpPr/>
      </xdr:nvCxnSpPr>
      <xdr:spPr>
        <a:xfrm flipH="1">
          <a:off x="1385455" y="3179618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306298</xdr:colOff>
      <xdr:row>19</xdr:row>
      <xdr:rowOff>96982</xdr:rowOff>
    </xdr:from>
    <xdr:to>
      <xdr:col>3</xdr:col>
      <xdr:colOff>308727</xdr:colOff>
      <xdr:row>20</xdr:row>
      <xdr:rowOff>84364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B4C2B78-D9FF-4F82-9BB6-D163B4D86161}"/>
            </a:ext>
          </a:extLst>
        </xdr:cNvPr>
        <xdr:cNvCxnSpPr>
          <a:endCxn id="15" idx="6"/>
        </xdr:cNvCxnSpPr>
      </xdr:nvCxnSpPr>
      <xdr:spPr>
        <a:xfrm flipH="1">
          <a:off x="1366171" y="3574473"/>
          <a:ext cx="1221629" cy="1709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328600</xdr:colOff>
      <xdr:row>21</xdr:row>
      <xdr:rowOff>103909</xdr:rowOff>
    </xdr:from>
    <xdr:to>
      <xdr:col>3</xdr:col>
      <xdr:colOff>253310</xdr:colOff>
      <xdr:row>22</xdr:row>
      <xdr:rowOff>80647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2479B9-C383-4459-B938-720CB4655FBB}"/>
            </a:ext>
          </a:extLst>
        </xdr:cNvPr>
        <xdr:cNvCxnSpPr>
          <a:endCxn id="17" idx="6"/>
        </xdr:cNvCxnSpPr>
      </xdr:nvCxnSpPr>
      <xdr:spPr>
        <a:xfrm flipH="1">
          <a:off x="1388473" y="3948545"/>
          <a:ext cx="1143910" cy="1603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266700</xdr:colOff>
      <xdr:row>23</xdr:row>
      <xdr:rowOff>107373</xdr:rowOff>
    </xdr:from>
    <xdr:to>
      <xdr:col>3</xdr:col>
      <xdr:colOff>249846</xdr:colOff>
      <xdr:row>24</xdr:row>
      <xdr:rowOff>118276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EFE8857-8BFF-493F-B883-E357B8937685}"/>
            </a:ext>
          </a:extLst>
        </xdr:cNvPr>
        <xdr:cNvCxnSpPr/>
      </xdr:nvCxnSpPr>
      <xdr:spPr>
        <a:xfrm flipH="1">
          <a:off x="1326573" y="4319155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277091</xdr:colOff>
      <xdr:row>25</xdr:row>
      <xdr:rowOff>86591</xdr:rowOff>
    </xdr:from>
    <xdr:to>
      <xdr:col>3</xdr:col>
      <xdr:colOff>260237</xdr:colOff>
      <xdr:row>26</xdr:row>
      <xdr:rowOff>97494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68AE486B-8246-44CC-954B-F10F07B41B9B}"/>
            </a:ext>
          </a:extLst>
        </xdr:cNvPr>
        <xdr:cNvCxnSpPr/>
      </xdr:nvCxnSpPr>
      <xdr:spPr>
        <a:xfrm flipH="1">
          <a:off x="1336964" y="4665518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249382</xdr:colOff>
      <xdr:row>27</xdr:row>
      <xdr:rowOff>132604</xdr:rowOff>
    </xdr:from>
    <xdr:to>
      <xdr:col>3</xdr:col>
      <xdr:colOff>259700</xdr:colOff>
      <xdr:row>28</xdr:row>
      <xdr:rowOff>107886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A7671604-FE2F-486C-9747-CDD081314C4C}"/>
            </a:ext>
          </a:extLst>
        </xdr:cNvPr>
        <xdr:cNvCxnSpPr>
          <a:stCxn id="22" idx="3"/>
        </xdr:cNvCxnSpPr>
      </xdr:nvCxnSpPr>
      <xdr:spPr>
        <a:xfrm flipH="1">
          <a:off x="1918855" y="5078677"/>
          <a:ext cx="619918" cy="1588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270163</xdr:colOff>
      <xdr:row>14</xdr:row>
      <xdr:rowOff>117764</xdr:rowOff>
    </xdr:from>
    <xdr:to>
      <xdr:col>3</xdr:col>
      <xdr:colOff>252266</xdr:colOff>
      <xdr:row>15</xdr:row>
      <xdr:rowOff>77013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8750FED-8696-4820-92EE-97A8DE0CD580}"/>
            </a:ext>
          </a:extLst>
        </xdr:cNvPr>
        <xdr:cNvCxnSpPr>
          <a:stCxn id="10" idx="1"/>
        </xdr:cNvCxnSpPr>
      </xdr:nvCxnSpPr>
      <xdr:spPr>
        <a:xfrm flipH="1" flipV="1">
          <a:off x="1330036" y="2677391"/>
          <a:ext cx="1201303" cy="1428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301336</xdr:colOff>
      <xdr:row>16</xdr:row>
      <xdr:rowOff>114299</xdr:rowOff>
    </xdr:from>
    <xdr:to>
      <xdr:col>3</xdr:col>
      <xdr:colOff>327058</xdr:colOff>
      <xdr:row>17</xdr:row>
      <xdr:rowOff>66143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33A527C-F4FA-4B49-9BA1-8C96FEE9FDA0}"/>
            </a:ext>
          </a:extLst>
        </xdr:cNvPr>
        <xdr:cNvCxnSpPr/>
      </xdr:nvCxnSpPr>
      <xdr:spPr>
        <a:xfrm flipH="1" flipV="1">
          <a:off x="1361209" y="3041072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242454</xdr:colOff>
      <xdr:row>18</xdr:row>
      <xdr:rowOff>103909</xdr:rowOff>
    </xdr:from>
    <xdr:to>
      <xdr:col>3</xdr:col>
      <xdr:colOff>270851</xdr:colOff>
      <xdr:row>19</xdr:row>
      <xdr:rowOff>77013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B19591E9-6748-429D-B4CA-6FC5546A6BF1}"/>
            </a:ext>
          </a:extLst>
        </xdr:cNvPr>
        <xdr:cNvCxnSpPr>
          <a:stCxn id="14" idx="1"/>
        </xdr:cNvCxnSpPr>
      </xdr:nvCxnSpPr>
      <xdr:spPr>
        <a:xfrm flipH="1" flipV="1">
          <a:off x="1302327" y="3397827"/>
          <a:ext cx="1247597" cy="15667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238991</xdr:colOff>
      <xdr:row>20</xdr:row>
      <xdr:rowOff>100445</xdr:rowOff>
    </xdr:from>
    <xdr:to>
      <xdr:col>3</xdr:col>
      <xdr:colOff>267134</xdr:colOff>
      <xdr:row>21</xdr:row>
      <xdr:rowOff>58427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239940B-9F24-4C72-8E5E-9FE49ED52A33}"/>
            </a:ext>
          </a:extLst>
        </xdr:cNvPr>
        <xdr:cNvCxnSpPr>
          <a:stCxn id="16" idx="1"/>
        </xdr:cNvCxnSpPr>
      </xdr:nvCxnSpPr>
      <xdr:spPr>
        <a:xfrm flipH="1" flipV="1">
          <a:off x="1298864" y="3761509"/>
          <a:ext cx="1247343" cy="1415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252845</xdr:colOff>
      <xdr:row>22</xdr:row>
      <xdr:rowOff>100446</xdr:rowOff>
    </xdr:from>
    <xdr:to>
      <xdr:col>3</xdr:col>
      <xdr:colOff>278567</xdr:colOff>
      <xdr:row>23</xdr:row>
      <xdr:rowOff>52289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D3BE2FAB-1261-481C-99FA-559CCD61377C}"/>
            </a:ext>
          </a:extLst>
        </xdr:cNvPr>
        <xdr:cNvCxnSpPr/>
      </xdr:nvCxnSpPr>
      <xdr:spPr>
        <a:xfrm flipH="1" flipV="1">
          <a:off x="1312718" y="4128655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273627</xdr:colOff>
      <xdr:row>24</xdr:row>
      <xdr:rowOff>114299</xdr:rowOff>
    </xdr:from>
    <xdr:to>
      <xdr:col>3</xdr:col>
      <xdr:colOff>299349</xdr:colOff>
      <xdr:row>25</xdr:row>
      <xdr:rowOff>66143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9BBBDE8-38B6-496F-9840-8A1C3E9BF0DB}"/>
            </a:ext>
          </a:extLst>
        </xdr:cNvPr>
        <xdr:cNvCxnSpPr/>
      </xdr:nvCxnSpPr>
      <xdr:spPr>
        <a:xfrm flipH="1" flipV="1">
          <a:off x="1333500" y="4509654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249382</xdr:colOff>
      <xdr:row>26</xdr:row>
      <xdr:rowOff>110837</xdr:rowOff>
    </xdr:from>
    <xdr:to>
      <xdr:col>3</xdr:col>
      <xdr:colOff>259700</xdr:colOff>
      <xdr:row>27</xdr:row>
      <xdr:rowOff>65862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12C514B-75F8-49D6-BA16-C847A09477AD}"/>
            </a:ext>
          </a:extLst>
        </xdr:cNvPr>
        <xdr:cNvCxnSpPr>
          <a:stCxn id="22" idx="1"/>
        </xdr:cNvCxnSpPr>
      </xdr:nvCxnSpPr>
      <xdr:spPr>
        <a:xfrm flipH="1" flipV="1">
          <a:off x="1309255" y="4873337"/>
          <a:ext cx="1229518" cy="13859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234176</xdr:colOff>
      <xdr:row>12</xdr:row>
      <xdr:rowOff>77945</xdr:rowOff>
    </xdr:from>
    <xdr:to>
      <xdr:col>5</xdr:col>
      <xdr:colOff>249550</xdr:colOff>
      <xdr:row>13</xdr:row>
      <xdr:rowOff>101606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7BE2977-7296-42A2-887B-3A94152B4FCE}"/>
            </a:ext>
          </a:extLst>
        </xdr:cNvPr>
        <xdr:cNvCxnSpPr>
          <a:cxnSpLocks/>
          <a:stCxn id="7" idx="2"/>
        </xdr:cNvCxnSpPr>
      </xdr:nvCxnSpPr>
      <xdr:spPr>
        <a:xfrm flipH="1">
          <a:off x="1491476" y="2454000"/>
          <a:ext cx="974801" cy="2072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29</xdr:row>
      <xdr:rowOff>57444</xdr:rowOff>
    </xdr:from>
    <xdr:to>
      <xdr:col>3</xdr:col>
      <xdr:colOff>345498</xdr:colOff>
      <xdr:row>29</xdr:row>
      <xdr:rowOff>151832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29C1DEEB-D961-4ABA-B960-39487266A4FF}"/>
            </a:ext>
          </a:extLst>
        </xdr:cNvPr>
        <xdr:cNvSpPr/>
      </xdr:nvSpPr>
      <xdr:spPr>
        <a:xfrm>
          <a:off x="2502876" y="498758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314546</xdr:colOff>
      <xdr:row>28</xdr:row>
      <xdr:rowOff>124108</xdr:rowOff>
    </xdr:from>
    <xdr:to>
      <xdr:col>3</xdr:col>
      <xdr:colOff>331125</xdr:colOff>
      <xdr:row>29</xdr:row>
      <xdr:rowOff>138009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660AF5B3-1EC2-4A40-A939-8B1432D0B4C9}"/>
            </a:ext>
          </a:extLst>
        </xdr:cNvPr>
        <xdr:cNvCxnSpPr>
          <a:stCxn id="28" idx="5"/>
        </xdr:cNvCxnSpPr>
      </xdr:nvCxnSpPr>
      <xdr:spPr>
        <a:xfrm flipH="1" flipV="1">
          <a:off x="1960466" y="4871368"/>
          <a:ext cx="626179" cy="1967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214749</xdr:colOff>
      <xdr:row>13</xdr:row>
      <xdr:rowOff>51957</xdr:rowOff>
    </xdr:from>
    <xdr:to>
      <xdr:col>3</xdr:col>
      <xdr:colOff>312891</xdr:colOff>
      <xdr:row>13</xdr:row>
      <xdr:rowOff>146345</xdr:rowOff>
    </xdr:to>
    <xdr:sp macro="" textlink="">
      <xdr:nvSpPr>
        <xdr:cNvPr id="40" name="Flowchart: Connector 39">
          <a:extLst>
            <a:ext uri="{FF2B5EF4-FFF2-40B4-BE49-F238E27FC236}">
              <a16:creationId xmlns:a16="http://schemas.microsoft.com/office/drawing/2014/main" id="{5E9F477E-1DDF-4C2E-9761-D80D1455B5D5}"/>
            </a:ext>
          </a:extLst>
        </xdr:cNvPr>
        <xdr:cNvSpPr/>
      </xdr:nvSpPr>
      <xdr:spPr>
        <a:xfrm>
          <a:off x="1472049" y="261158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195263</xdr:colOff>
      <xdr:row>11</xdr:row>
      <xdr:rowOff>166688</xdr:rowOff>
    </xdr:from>
    <xdr:to>
      <xdr:col>1</xdr:col>
      <xdr:colOff>362903</xdr:colOff>
      <xdr:row>11</xdr:row>
      <xdr:rowOff>317863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5D9F99F2-EC8F-4E95-9F48-DF82B263FC2B}"/>
            </a:ext>
          </a:extLst>
        </xdr:cNvPr>
        <xdr:cNvSpPr/>
      </xdr:nvSpPr>
      <xdr:spPr>
        <a:xfrm>
          <a:off x="583883" y="21707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ZA" sz="1100"/>
        </a:p>
      </xdr:txBody>
    </xdr:sp>
    <xdr:clientData/>
  </xdr:twoCellAnchor>
  <xdr:twoCellAnchor>
    <xdr:from>
      <xdr:col>2</xdr:col>
      <xdr:colOff>101918</xdr:colOff>
      <xdr:row>11</xdr:row>
      <xdr:rowOff>207645</xdr:rowOff>
    </xdr:from>
    <xdr:to>
      <xdr:col>2</xdr:col>
      <xdr:colOff>413385</xdr:colOff>
      <xdr:row>11</xdr:row>
      <xdr:rowOff>302895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5E9E330-66A4-4BFB-AE12-E49273504B6B}"/>
            </a:ext>
          </a:extLst>
        </xdr:cNvPr>
        <xdr:cNvSpPr/>
      </xdr:nvSpPr>
      <xdr:spPr>
        <a:xfrm>
          <a:off x="970598" y="2211705"/>
          <a:ext cx="31146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101918</xdr:colOff>
      <xdr:row>11</xdr:row>
      <xdr:rowOff>176213</xdr:rowOff>
    </xdr:from>
    <xdr:to>
      <xdr:col>3</xdr:col>
      <xdr:colOff>411480</xdr:colOff>
      <xdr:row>11</xdr:row>
      <xdr:rowOff>309562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306A34ED-5359-443B-858B-4549373567C2}"/>
            </a:ext>
          </a:extLst>
        </xdr:cNvPr>
        <xdr:cNvSpPr/>
      </xdr:nvSpPr>
      <xdr:spPr>
        <a:xfrm>
          <a:off x="1427798" y="21802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149543</xdr:colOff>
      <xdr:row>11</xdr:row>
      <xdr:rowOff>186690</xdr:rowOff>
    </xdr:from>
    <xdr:to>
      <xdr:col>4</xdr:col>
      <xdr:colOff>330518</xdr:colOff>
      <xdr:row>11</xdr:row>
      <xdr:rowOff>329565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2485BD33-AA68-4BA1-901D-BA25110FC268}"/>
            </a:ext>
          </a:extLst>
        </xdr:cNvPr>
        <xdr:cNvSpPr/>
      </xdr:nvSpPr>
      <xdr:spPr>
        <a:xfrm>
          <a:off x="1955483" y="219075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161925</xdr:colOff>
      <xdr:row>11</xdr:row>
      <xdr:rowOff>143828</xdr:rowOff>
    </xdr:from>
    <xdr:to>
      <xdr:col>5</xdr:col>
      <xdr:colOff>342900</xdr:colOff>
      <xdr:row>11</xdr:row>
      <xdr:rowOff>291465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FCBE9959-D223-470A-B379-74A0D7ACED80}"/>
            </a:ext>
          </a:extLst>
        </xdr:cNvPr>
        <xdr:cNvSpPr/>
      </xdr:nvSpPr>
      <xdr:spPr>
        <a:xfrm>
          <a:off x="2364105" y="214788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235132</xdr:colOff>
      <xdr:row>12</xdr:row>
      <xdr:rowOff>34835</xdr:rowOff>
    </xdr:from>
    <xdr:to>
      <xdr:col>5</xdr:col>
      <xdr:colOff>333274</xdr:colOff>
      <xdr:row>12</xdr:row>
      <xdr:rowOff>129223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FFDF2BA1-3D9C-488A-B522-399B10261BBA}"/>
            </a:ext>
          </a:extLst>
        </xdr:cNvPr>
        <xdr:cNvSpPr/>
      </xdr:nvSpPr>
      <xdr:spPr>
        <a:xfrm>
          <a:off x="3853543" y="222068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235131</xdr:colOff>
      <xdr:row>13</xdr:row>
      <xdr:rowOff>43542</xdr:rowOff>
    </xdr:from>
    <xdr:to>
      <xdr:col>3</xdr:col>
      <xdr:colOff>333273</xdr:colOff>
      <xdr:row>13</xdr:row>
      <xdr:rowOff>137930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066BBCFC-A2A9-44CB-973D-6DA2B3A3184A}"/>
            </a:ext>
          </a:extLst>
        </xdr:cNvPr>
        <xdr:cNvSpPr/>
      </xdr:nvSpPr>
      <xdr:spPr>
        <a:xfrm>
          <a:off x="2634342" y="241227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230777</xdr:colOff>
      <xdr:row>14</xdr:row>
      <xdr:rowOff>56605</xdr:rowOff>
    </xdr:from>
    <xdr:to>
      <xdr:col>1</xdr:col>
      <xdr:colOff>328919</xdr:colOff>
      <xdr:row>14</xdr:row>
      <xdr:rowOff>150993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E0A96DEC-0E32-49CC-82F8-BCC62155EF2A}"/>
            </a:ext>
          </a:extLst>
        </xdr:cNvPr>
        <xdr:cNvSpPr/>
      </xdr:nvSpPr>
      <xdr:spPr>
        <a:xfrm>
          <a:off x="1410788" y="260821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239486</xdr:colOff>
      <xdr:row>15</xdr:row>
      <xdr:rowOff>34834</xdr:rowOff>
    </xdr:from>
    <xdr:to>
      <xdr:col>3</xdr:col>
      <xdr:colOff>337628</xdr:colOff>
      <xdr:row>15</xdr:row>
      <xdr:rowOff>129222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83FEBDAC-31F1-4B9B-AD5B-5703091BD08A}"/>
            </a:ext>
          </a:extLst>
        </xdr:cNvPr>
        <xdr:cNvSpPr/>
      </xdr:nvSpPr>
      <xdr:spPr>
        <a:xfrm>
          <a:off x="2638697" y="276932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222068</xdr:colOff>
      <xdr:row>16</xdr:row>
      <xdr:rowOff>43543</xdr:rowOff>
    </xdr:from>
    <xdr:to>
      <xdr:col>1</xdr:col>
      <xdr:colOff>320210</xdr:colOff>
      <xdr:row>16</xdr:row>
      <xdr:rowOff>137931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8DC5800B-AE14-439C-B213-3C0D58493A6F}"/>
            </a:ext>
          </a:extLst>
        </xdr:cNvPr>
        <xdr:cNvSpPr/>
      </xdr:nvSpPr>
      <xdr:spPr>
        <a:xfrm>
          <a:off x="1402079" y="296091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256903</xdr:colOff>
      <xdr:row>17</xdr:row>
      <xdr:rowOff>47897</xdr:rowOff>
    </xdr:from>
    <xdr:to>
      <xdr:col>3</xdr:col>
      <xdr:colOff>355045</xdr:colOff>
      <xdr:row>17</xdr:row>
      <xdr:rowOff>142285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A8DA4DA9-56F2-444C-A6B9-8105380F3C80}"/>
            </a:ext>
          </a:extLst>
        </xdr:cNvPr>
        <xdr:cNvSpPr/>
      </xdr:nvSpPr>
      <xdr:spPr>
        <a:xfrm>
          <a:off x="2656114" y="314814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18</xdr:row>
      <xdr:rowOff>52252</xdr:rowOff>
    </xdr:from>
    <xdr:to>
      <xdr:col>1</xdr:col>
      <xdr:colOff>315856</xdr:colOff>
      <xdr:row>18</xdr:row>
      <xdr:rowOff>146640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ADE7B61C-4FE0-4CDE-86F0-CC6F9BE3C39F}"/>
            </a:ext>
          </a:extLst>
        </xdr:cNvPr>
        <xdr:cNvSpPr/>
      </xdr:nvSpPr>
      <xdr:spPr>
        <a:xfrm>
          <a:off x="1397725" y="333538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248194</xdr:colOff>
      <xdr:row>19</xdr:row>
      <xdr:rowOff>34835</xdr:rowOff>
    </xdr:from>
    <xdr:to>
      <xdr:col>3</xdr:col>
      <xdr:colOff>346336</xdr:colOff>
      <xdr:row>19</xdr:row>
      <xdr:rowOff>129223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00C97ED9-2CAA-47AC-A2AD-3B67C240911D}"/>
            </a:ext>
          </a:extLst>
        </xdr:cNvPr>
        <xdr:cNvSpPr/>
      </xdr:nvSpPr>
      <xdr:spPr>
        <a:xfrm>
          <a:off x="2647405" y="350084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213359</xdr:colOff>
      <xdr:row>20</xdr:row>
      <xdr:rowOff>47897</xdr:rowOff>
    </xdr:from>
    <xdr:to>
      <xdr:col>1</xdr:col>
      <xdr:colOff>311501</xdr:colOff>
      <xdr:row>20</xdr:row>
      <xdr:rowOff>142285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184BC03B-8559-4E80-8734-A1155326B5A7}"/>
            </a:ext>
          </a:extLst>
        </xdr:cNvPr>
        <xdr:cNvSpPr/>
      </xdr:nvSpPr>
      <xdr:spPr>
        <a:xfrm>
          <a:off x="1393370" y="369678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248194</xdr:colOff>
      <xdr:row>21</xdr:row>
      <xdr:rowOff>39188</xdr:rowOff>
    </xdr:from>
    <xdr:to>
      <xdr:col>3</xdr:col>
      <xdr:colOff>346336</xdr:colOff>
      <xdr:row>21</xdr:row>
      <xdr:rowOff>133576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1D4F4BBA-8F8F-46C3-B8EF-29145757BD43}"/>
            </a:ext>
          </a:extLst>
        </xdr:cNvPr>
        <xdr:cNvSpPr/>
      </xdr:nvSpPr>
      <xdr:spPr>
        <a:xfrm>
          <a:off x="2647405" y="387095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222068</xdr:colOff>
      <xdr:row>22</xdr:row>
      <xdr:rowOff>47897</xdr:rowOff>
    </xdr:from>
    <xdr:to>
      <xdr:col>1</xdr:col>
      <xdr:colOff>320210</xdr:colOff>
      <xdr:row>22</xdr:row>
      <xdr:rowOff>142285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76F642DC-8060-40CA-B6C6-0573B9122B3D}"/>
            </a:ext>
          </a:extLst>
        </xdr:cNvPr>
        <xdr:cNvSpPr/>
      </xdr:nvSpPr>
      <xdr:spPr>
        <a:xfrm>
          <a:off x="1402079" y="406254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243840</xdr:colOff>
      <xdr:row>23</xdr:row>
      <xdr:rowOff>26126</xdr:rowOff>
    </xdr:from>
    <xdr:to>
      <xdr:col>3</xdr:col>
      <xdr:colOff>341982</xdr:colOff>
      <xdr:row>23</xdr:row>
      <xdr:rowOff>120514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C26DC727-9E7E-4F8C-8591-814E7660FD1B}"/>
            </a:ext>
          </a:extLst>
        </xdr:cNvPr>
        <xdr:cNvSpPr/>
      </xdr:nvSpPr>
      <xdr:spPr>
        <a:xfrm>
          <a:off x="2643051" y="422365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217714</xdr:colOff>
      <xdr:row>24</xdr:row>
      <xdr:rowOff>30480</xdr:rowOff>
    </xdr:from>
    <xdr:to>
      <xdr:col>2</xdr:col>
      <xdr:colOff>315856</xdr:colOff>
      <xdr:row>24</xdr:row>
      <xdr:rowOff>124868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12387377-C8F5-4893-B774-9916425DA513}"/>
            </a:ext>
          </a:extLst>
        </xdr:cNvPr>
        <xdr:cNvSpPr/>
      </xdr:nvSpPr>
      <xdr:spPr>
        <a:xfrm>
          <a:off x="2007325" y="441089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291737</xdr:colOff>
      <xdr:row>14</xdr:row>
      <xdr:rowOff>126275</xdr:rowOff>
    </xdr:from>
    <xdr:to>
      <xdr:col>3</xdr:col>
      <xdr:colOff>317459</xdr:colOff>
      <xdr:row>15</xdr:row>
      <xdr:rowOff>78118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843E3851-929E-419D-A04F-BFBBB01DF686}"/>
            </a:ext>
          </a:extLst>
        </xdr:cNvPr>
        <xdr:cNvCxnSpPr/>
      </xdr:nvCxnSpPr>
      <xdr:spPr>
        <a:xfrm flipH="1" flipV="1">
          <a:off x="1471748" y="2677886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256903</xdr:colOff>
      <xdr:row>16</xdr:row>
      <xdr:rowOff>113211</xdr:rowOff>
    </xdr:from>
    <xdr:to>
      <xdr:col>3</xdr:col>
      <xdr:colOff>282625</xdr:colOff>
      <xdr:row>17</xdr:row>
      <xdr:rowOff>65054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6378F51-A029-4D15-B102-E5CDB7D0427A}"/>
            </a:ext>
          </a:extLst>
        </xdr:cNvPr>
        <xdr:cNvCxnSpPr/>
      </xdr:nvCxnSpPr>
      <xdr:spPr>
        <a:xfrm flipH="1" flipV="1">
          <a:off x="1436914" y="3030582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317862</xdr:colOff>
      <xdr:row>18</xdr:row>
      <xdr:rowOff>121920</xdr:rowOff>
    </xdr:from>
    <xdr:to>
      <xdr:col>3</xdr:col>
      <xdr:colOff>343584</xdr:colOff>
      <xdr:row>19</xdr:row>
      <xdr:rowOff>73763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620FCB6-E812-44B0-91CB-6AAE712D013C}"/>
            </a:ext>
          </a:extLst>
        </xdr:cNvPr>
        <xdr:cNvCxnSpPr/>
      </xdr:nvCxnSpPr>
      <xdr:spPr>
        <a:xfrm flipH="1" flipV="1">
          <a:off x="1497873" y="3405051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248195</xdr:colOff>
      <xdr:row>20</xdr:row>
      <xdr:rowOff>117566</xdr:rowOff>
    </xdr:from>
    <xdr:to>
      <xdr:col>3</xdr:col>
      <xdr:colOff>273917</xdr:colOff>
      <xdr:row>21</xdr:row>
      <xdr:rowOff>69409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E4580B4-8176-4790-A49B-4F71E339B8B9}"/>
            </a:ext>
          </a:extLst>
        </xdr:cNvPr>
        <xdr:cNvCxnSpPr/>
      </xdr:nvCxnSpPr>
      <xdr:spPr>
        <a:xfrm flipH="1" flipV="1">
          <a:off x="1428206" y="3766457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291737</xdr:colOff>
      <xdr:row>22</xdr:row>
      <xdr:rowOff>95794</xdr:rowOff>
    </xdr:from>
    <xdr:to>
      <xdr:col>3</xdr:col>
      <xdr:colOff>317459</xdr:colOff>
      <xdr:row>23</xdr:row>
      <xdr:rowOff>47637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C3B9B1C-DBAB-43F0-9497-678BDFA85B6C}"/>
            </a:ext>
          </a:extLst>
        </xdr:cNvPr>
        <xdr:cNvCxnSpPr/>
      </xdr:nvCxnSpPr>
      <xdr:spPr>
        <a:xfrm flipH="1" flipV="1">
          <a:off x="1471748" y="4110445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261257</xdr:colOff>
      <xdr:row>13</xdr:row>
      <xdr:rowOff>104503</xdr:rowOff>
    </xdr:from>
    <xdr:to>
      <xdr:col>3</xdr:col>
      <xdr:colOff>244403</xdr:colOff>
      <xdr:row>14</xdr:row>
      <xdr:rowOff>115406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B89A11D4-DE73-4879-AD35-A04B26E9720D}"/>
            </a:ext>
          </a:extLst>
        </xdr:cNvPr>
        <xdr:cNvCxnSpPr/>
      </xdr:nvCxnSpPr>
      <xdr:spPr>
        <a:xfrm flipH="1">
          <a:off x="1441268" y="2473234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248194</xdr:colOff>
      <xdr:row>15</xdr:row>
      <xdr:rowOff>91440</xdr:rowOff>
    </xdr:from>
    <xdr:to>
      <xdr:col>3</xdr:col>
      <xdr:colOff>231340</xdr:colOff>
      <xdr:row>16</xdr:row>
      <xdr:rowOff>102343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4B548B-5767-499D-94E3-FF793EBD97E2}"/>
            </a:ext>
          </a:extLst>
        </xdr:cNvPr>
        <xdr:cNvCxnSpPr/>
      </xdr:nvCxnSpPr>
      <xdr:spPr>
        <a:xfrm flipH="1">
          <a:off x="1428205" y="2825931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17</xdr:row>
      <xdr:rowOff>100149</xdr:rowOff>
    </xdr:from>
    <xdr:to>
      <xdr:col>3</xdr:col>
      <xdr:colOff>257466</xdr:colOff>
      <xdr:row>18</xdr:row>
      <xdr:rowOff>111052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7B29C68D-A6C1-442C-8337-70DE441D8F2B}"/>
            </a:ext>
          </a:extLst>
        </xdr:cNvPr>
        <xdr:cNvCxnSpPr/>
      </xdr:nvCxnSpPr>
      <xdr:spPr>
        <a:xfrm flipH="1">
          <a:off x="1454331" y="3200400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283029</xdr:colOff>
      <xdr:row>19</xdr:row>
      <xdr:rowOff>82732</xdr:rowOff>
    </xdr:from>
    <xdr:to>
      <xdr:col>3</xdr:col>
      <xdr:colOff>266175</xdr:colOff>
      <xdr:row>20</xdr:row>
      <xdr:rowOff>93635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38E711A-B658-4677-9B1A-49DC38DFEA06}"/>
            </a:ext>
          </a:extLst>
        </xdr:cNvPr>
        <xdr:cNvCxnSpPr/>
      </xdr:nvCxnSpPr>
      <xdr:spPr>
        <a:xfrm flipH="1">
          <a:off x="1463040" y="3548743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296091</xdr:colOff>
      <xdr:row>21</xdr:row>
      <xdr:rowOff>78377</xdr:rowOff>
    </xdr:from>
    <xdr:to>
      <xdr:col>3</xdr:col>
      <xdr:colOff>279237</xdr:colOff>
      <xdr:row>22</xdr:row>
      <xdr:rowOff>89280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5A4E638-C3DD-4222-8E88-4FCE5681D265}"/>
            </a:ext>
          </a:extLst>
        </xdr:cNvPr>
        <xdr:cNvCxnSpPr/>
      </xdr:nvCxnSpPr>
      <xdr:spPr>
        <a:xfrm flipH="1">
          <a:off x="1476102" y="3910148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217714</xdr:colOff>
      <xdr:row>23</xdr:row>
      <xdr:rowOff>74023</xdr:rowOff>
    </xdr:from>
    <xdr:to>
      <xdr:col>3</xdr:col>
      <xdr:colOff>314072</xdr:colOff>
      <xdr:row>24</xdr:row>
      <xdr:rowOff>77674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F0D2B2-88B0-4B1A-B071-1288C123AB1B}"/>
            </a:ext>
          </a:extLst>
        </xdr:cNvPr>
        <xdr:cNvCxnSpPr>
          <a:endCxn id="19" idx="2"/>
        </xdr:cNvCxnSpPr>
      </xdr:nvCxnSpPr>
      <xdr:spPr>
        <a:xfrm flipH="1">
          <a:off x="2007325" y="4271554"/>
          <a:ext cx="705958" cy="1865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265611</xdr:colOff>
      <xdr:row>12</xdr:row>
      <xdr:rowOff>87086</xdr:rowOff>
    </xdr:from>
    <xdr:to>
      <xdr:col>5</xdr:col>
      <xdr:colOff>248757</xdr:colOff>
      <xdr:row>13</xdr:row>
      <xdr:rowOff>97989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B5D3BE8B-A386-482E-B16E-67BFCC019415}"/>
            </a:ext>
          </a:extLst>
        </xdr:cNvPr>
        <xdr:cNvCxnSpPr/>
      </xdr:nvCxnSpPr>
      <xdr:spPr>
        <a:xfrm flipH="1">
          <a:off x="2664822" y="2272937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25</xdr:row>
      <xdr:rowOff>57444</xdr:rowOff>
    </xdr:from>
    <xdr:to>
      <xdr:col>3</xdr:col>
      <xdr:colOff>345498</xdr:colOff>
      <xdr:row>25</xdr:row>
      <xdr:rowOff>151832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87C0D614-B3A6-409A-9615-B3AEC81BFCF0}"/>
            </a:ext>
          </a:extLst>
        </xdr:cNvPr>
        <xdr:cNvSpPr/>
      </xdr:nvSpPr>
      <xdr:spPr>
        <a:xfrm>
          <a:off x="2525736" y="535334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301483</xdr:colOff>
      <xdr:row>24</xdr:row>
      <xdr:rowOff>111045</xdr:rowOff>
    </xdr:from>
    <xdr:to>
      <xdr:col>3</xdr:col>
      <xdr:colOff>331125</xdr:colOff>
      <xdr:row>25</xdr:row>
      <xdr:rowOff>138009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A41546D6-BA7C-4A03-931D-47DA3543A4B9}"/>
            </a:ext>
          </a:extLst>
        </xdr:cNvPr>
        <xdr:cNvCxnSpPr>
          <a:stCxn id="31" idx="5"/>
          <a:endCxn id="19" idx="5"/>
        </xdr:cNvCxnSpPr>
      </xdr:nvCxnSpPr>
      <xdr:spPr>
        <a:xfrm flipH="1" flipV="1">
          <a:off x="2094188" y="4526634"/>
          <a:ext cx="639242" cy="2114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2CF83326-39D7-4200-BEB0-C781BD7ACEA5}"/>
            </a:ext>
          </a:extLst>
        </xdr:cNvPr>
        <xdr:cNvSpPr/>
      </xdr:nvSpPr>
      <xdr:spPr>
        <a:xfrm>
          <a:off x="1536383" y="28184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486F4E-C4E3-4D3B-91D6-B938FAB00285}"/>
            </a:ext>
          </a:extLst>
        </xdr:cNvPr>
        <xdr:cNvSpPr/>
      </xdr:nvSpPr>
      <xdr:spPr>
        <a:xfrm>
          <a:off x="2090738" y="285178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512B65D-E749-476C-9803-F1CD4CBB38B0}"/>
            </a:ext>
          </a:extLst>
        </xdr:cNvPr>
        <xdr:cNvSpPr/>
      </xdr:nvSpPr>
      <xdr:spPr>
        <a:xfrm>
          <a:off x="2700338" y="28279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F05AAC86-CC0C-4B0C-8852-12FB1C23C62C}"/>
            </a:ext>
          </a:extLst>
        </xdr:cNvPr>
        <xdr:cNvSpPr/>
      </xdr:nvSpPr>
      <xdr:spPr>
        <a:xfrm>
          <a:off x="3357563" y="282321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03FB0CB8-CE48-42B6-BEE6-7C0DF6FDA9D8}"/>
            </a:ext>
          </a:extLst>
        </xdr:cNvPr>
        <xdr:cNvSpPr/>
      </xdr:nvSpPr>
      <xdr:spPr>
        <a:xfrm>
          <a:off x="3971925" y="281844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243840</xdr:colOff>
      <xdr:row>12</xdr:row>
      <xdr:rowOff>43542</xdr:rowOff>
    </xdr:from>
    <xdr:to>
      <xdr:col>5</xdr:col>
      <xdr:colOff>341982</xdr:colOff>
      <xdr:row>12</xdr:row>
      <xdr:rowOff>137930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FEFE3BDE-90F3-4843-855D-0327B60A7A68}"/>
            </a:ext>
          </a:extLst>
        </xdr:cNvPr>
        <xdr:cNvSpPr/>
      </xdr:nvSpPr>
      <xdr:spPr>
        <a:xfrm>
          <a:off x="3757749" y="222939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14</xdr:row>
      <xdr:rowOff>56606</xdr:rowOff>
    </xdr:from>
    <xdr:to>
      <xdr:col>1</xdr:col>
      <xdr:colOff>315856</xdr:colOff>
      <xdr:row>14</xdr:row>
      <xdr:rowOff>150994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89A226DF-C90D-4005-B9F6-C23B9DA0A0EA}"/>
            </a:ext>
          </a:extLst>
        </xdr:cNvPr>
        <xdr:cNvSpPr/>
      </xdr:nvSpPr>
      <xdr:spPr>
        <a:xfrm>
          <a:off x="1293223" y="260821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230777</xdr:colOff>
      <xdr:row>15</xdr:row>
      <xdr:rowOff>43543</xdr:rowOff>
    </xdr:from>
    <xdr:to>
      <xdr:col>3</xdr:col>
      <xdr:colOff>328919</xdr:colOff>
      <xdr:row>15</xdr:row>
      <xdr:rowOff>137931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781D9A9A-EC72-4D41-AA2D-326A408B71B0}"/>
            </a:ext>
          </a:extLst>
        </xdr:cNvPr>
        <xdr:cNvSpPr/>
      </xdr:nvSpPr>
      <xdr:spPr>
        <a:xfrm>
          <a:off x="2525486" y="277803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187235</xdr:colOff>
      <xdr:row>16</xdr:row>
      <xdr:rowOff>52252</xdr:rowOff>
    </xdr:from>
    <xdr:to>
      <xdr:col>1</xdr:col>
      <xdr:colOff>285377</xdr:colOff>
      <xdr:row>16</xdr:row>
      <xdr:rowOff>146640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98916066-8DD9-4C52-B686-741E48E171C4}"/>
            </a:ext>
          </a:extLst>
        </xdr:cNvPr>
        <xdr:cNvSpPr/>
      </xdr:nvSpPr>
      <xdr:spPr>
        <a:xfrm>
          <a:off x="1262744" y="296962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18</xdr:row>
      <xdr:rowOff>30480</xdr:rowOff>
    </xdr:from>
    <xdr:to>
      <xdr:col>1</xdr:col>
      <xdr:colOff>315856</xdr:colOff>
      <xdr:row>18</xdr:row>
      <xdr:rowOff>124868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4FEB0621-FE33-4A5C-9FA4-2B1BDBA2A873}"/>
            </a:ext>
          </a:extLst>
        </xdr:cNvPr>
        <xdr:cNvSpPr/>
      </xdr:nvSpPr>
      <xdr:spPr>
        <a:xfrm>
          <a:off x="1293223" y="331361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204652</xdr:colOff>
      <xdr:row>20</xdr:row>
      <xdr:rowOff>47897</xdr:rowOff>
    </xdr:from>
    <xdr:to>
      <xdr:col>1</xdr:col>
      <xdr:colOff>302794</xdr:colOff>
      <xdr:row>20</xdr:row>
      <xdr:rowOff>142285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3EE4B53B-8963-4A72-A176-BBF45A567B63}"/>
            </a:ext>
          </a:extLst>
        </xdr:cNvPr>
        <xdr:cNvSpPr/>
      </xdr:nvSpPr>
      <xdr:spPr>
        <a:xfrm>
          <a:off x="1280161" y="369678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222068</xdr:colOff>
      <xdr:row>17</xdr:row>
      <xdr:rowOff>52251</xdr:rowOff>
    </xdr:from>
    <xdr:to>
      <xdr:col>3</xdr:col>
      <xdr:colOff>320210</xdr:colOff>
      <xdr:row>17</xdr:row>
      <xdr:rowOff>146639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79C50D6D-5CAD-429B-A71B-15E2B7500C98}"/>
            </a:ext>
          </a:extLst>
        </xdr:cNvPr>
        <xdr:cNvSpPr/>
      </xdr:nvSpPr>
      <xdr:spPr>
        <a:xfrm>
          <a:off x="2516777" y="315250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19</xdr:row>
      <xdr:rowOff>43543</xdr:rowOff>
    </xdr:from>
    <xdr:to>
      <xdr:col>3</xdr:col>
      <xdr:colOff>324565</xdr:colOff>
      <xdr:row>19</xdr:row>
      <xdr:rowOff>137931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751ABDBF-F656-4D43-9CC7-23C54D1BCB64}"/>
            </a:ext>
          </a:extLst>
        </xdr:cNvPr>
        <xdr:cNvSpPr/>
      </xdr:nvSpPr>
      <xdr:spPr>
        <a:xfrm>
          <a:off x="2521132" y="350955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222069</xdr:colOff>
      <xdr:row>21</xdr:row>
      <xdr:rowOff>39188</xdr:rowOff>
    </xdr:from>
    <xdr:to>
      <xdr:col>3</xdr:col>
      <xdr:colOff>320211</xdr:colOff>
      <xdr:row>21</xdr:row>
      <xdr:rowOff>133576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9B5B03F6-0659-48F0-BD65-EBB026F72649}"/>
            </a:ext>
          </a:extLst>
        </xdr:cNvPr>
        <xdr:cNvSpPr/>
      </xdr:nvSpPr>
      <xdr:spPr>
        <a:xfrm>
          <a:off x="2516778" y="387095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200298</xdr:colOff>
      <xdr:row>22</xdr:row>
      <xdr:rowOff>52251</xdr:rowOff>
    </xdr:from>
    <xdr:to>
      <xdr:col>1</xdr:col>
      <xdr:colOff>298440</xdr:colOff>
      <xdr:row>22</xdr:row>
      <xdr:rowOff>146639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11029989-AA4D-4FF9-B4D5-2BAB40520961}"/>
            </a:ext>
          </a:extLst>
        </xdr:cNvPr>
        <xdr:cNvSpPr/>
      </xdr:nvSpPr>
      <xdr:spPr>
        <a:xfrm>
          <a:off x="1275807" y="406690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23</xdr:row>
      <xdr:rowOff>47897</xdr:rowOff>
    </xdr:from>
    <xdr:to>
      <xdr:col>3</xdr:col>
      <xdr:colOff>324565</xdr:colOff>
      <xdr:row>23</xdr:row>
      <xdr:rowOff>142285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4826685C-0569-4382-A43E-E97D86F1935D}"/>
            </a:ext>
          </a:extLst>
        </xdr:cNvPr>
        <xdr:cNvSpPr/>
      </xdr:nvSpPr>
      <xdr:spPr>
        <a:xfrm>
          <a:off x="2521132" y="424542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230777</xdr:colOff>
      <xdr:row>24</xdr:row>
      <xdr:rowOff>39189</xdr:rowOff>
    </xdr:from>
    <xdr:to>
      <xdr:col>2</xdr:col>
      <xdr:colOff>328919</xdr:colOff>
      <xdr:row>24</xdr:row>
      <xdr:rowOff>133577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F1DAF713-D00C-48D8-BCE6-5FCD15DCE653}"/>
            </a:ext>
          </a:extLst>
        </xdr:cNvPr>
        <xdr:cNvSpPr/>
      </xdr:nvSpPr>
      <xdr:spPr>
        <a:xfrm>
          <a:off x="1915886" y="44196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217991</xdr:colOff>
      <xdr:row>12</xdr:row>
      <xdr:rowOff>90736</xdr:rowOff>
    </xdr:from>
    <xdr:to>
      <xdr:col>5</xdr:col>
      <xdr:colOff>341982</xdr:colOff>
      <xdr:row>13</xdr:row>
      <xdr:rowOff>109065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FCBAF9C-64A9-4A17-9C16-61D341AE82E1}"/>
            </a:ext>
          </a:extLst>
        </xdr:cNvPr>
        <xdr:cNvCxnSpPr>
          <a:cxnSpLocks/>
          <a:stCxn id="7" idx="6"/>
          <a:endCxn id="34" idx="2"/>
        </xdr:cNvCxnSpPr>
      </xdr:nvCxnSpPr>
      <xdr:spPr>
        <a:xfrm flipH="1">
          <a:off x="1908246" y="2975945"/>
          <a:ext cx="1045318" cy="20882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217714</xdr:colOff>
      <xdr:row>13</xdr:row>
      <xdr:rowOff>75694</xdr:rowOff>
    </xdr:from>
    <xdr:to>
      <xdr:col>3</xdr:col>
      <xdr:colOff>301760</xdr:colOff>
      <xdr:row>14</xdr:row>
      <xdr:rowOff>103800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EACD8E0-A630-4206-9D6B-90DBF0513B4A}"/>
            </a:ext>
          </a:extLst>
        </xdr:cNvPr>
        <xdr:cNvCxnSpPr>
          <a:stCxn id="34" idx="7"/>
          <a:endCxn id="9" idx="2"/>
        </xdr:cNvCxnSpPr>
      </xdr:nvCxnSpPr>
      <xdr:spPr>
        <a:xfrm flipH="1">
          <a:off x="833799" y="3146392"/>
          <a:ext cx="1157331" cy="21941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256903</xdr:colOff>
      <xdr:row>15</xdr:row>
      <xdr:rowOff>108857</xdr:rowOff>
    </xdr:from>
    <xdr:to>
      <xdr:col>3</xdr:col>
      <xdr:colOff>240049</xdr:colOff>
      <xdr:row>16</xdr:row>
      <xdr:rowOff>119760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C37A9328-6CFC-4A81-BE53-3A49D9B19D89}"/>
            </a:ext>
          </a:extLst>
        </xdr:cNvPr>
        <xdr:cNvCxnSpPr/>
      </xdr:nvCxnSpPr>
      <xdr:spPr>
        <a:xfrm flipH="1">
          <a:off x="1332412" y="2843348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248194</xdr:colOff>
      <xdr:row>17</xdr:row>
      <xdr:rowOff>91440</xdr:rowOff>
    </xdr:from>
    <xdr:to>
      <xdr:col>3</xdr:col>
      <xdr:colOff>231340</xdr:colOff>
      <xdr:row>18</xdr:row>
      <xdr:rowOff>102343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9273BEF-D1A7-48F1-B4F7-9BEEF7806A74}"/>
            </a:ext>
          </a:extLst>
        </xdr:cNvPr>
        <xdr:cNvCxnSpPr/>
      </xdr:nvCxnSpPr>
      <xdr:spPr>
        <a:xfrm flipH="1">
          <a:off x="1323703" y="3191691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269966</xdr:colOff>
      <xdr:row>19</xdr:row>
      <xdr:rowOff>74023</xdr:rowOff>
    </xdr:from>
    <xdr:to>
      <xdr:col>3</xdr:col>
      <xdr:colOff>253112</xdr:colOff>
      <xdr:row>20</xdr:row>
      <xdr:rowOff>84926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C01B04D-F5B6-4F31-AB1D-6C4AE9C6B05E}"/>
            </a:ext>
          </a:extLst>
        </xdr:cNvPr>
        <xdr:cNvCxnSpPr/>
      </xdr:nvCxnSpPr>
      <xdr:spPr>
        <a:xfrm flipH="1">
          <a:off x="1345475" y="3540034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261257</xdr:colOff>
      <xdr:row>21</xdr:row>
      <xdr:rowOff>82731</xdr:rowOff>
    </xdr:from>
    <xdr:to>
      <xdr:col>3</xdr:col>
      <xdr:colOff>244403</xdr:colOff>
      <xdr:row>22</xdr:row>
      <xdr:rowOff>93634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D4488A3-34ED-4439-8453-2C1C5A46540F}"/>
            </a:ext>
          </a:extLst>
        </xdr:cNvPr>
        <xdr:cNvCxnSpPr/>
      </xdr:nvCxnSpPr>
      <xdr:spPr>
        <a:xfrm flipH="1">
          <a:off x="1336766" y="3914502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291737</xdr:colOff>
      <xdr:row>14</xdr:row>
      <xdr:rowOff>130629</xdr:rowOff>
    </xdr:from>
    <xdr:to>
      <xdr:col>3</xdr:col>
      <xdr:colOff>317459</xdr:colOff>
      <xdr:row>15</xdr:row>
      <xdr:rowOff>82472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F8E5F60-5E82-48F0-8F08-9D1E621EB525}"/>
            </a:ext>
          </a:extLst>
        </xdr:cNvPr>
        <xdr:cNvCxnSpPr/>
      </xdr:nvCxnSpPr>
      <xdr:spPr>
        <a:xfrm flipH="1" flipV="1">
          <a:off x="1367246" y="2682240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213360</xdr:colOff>
      <xdr:row>16</xdr:row>
      <xdr:rowOff>130628</xdr:rowOff>
    </xdr:from>
    <xdr:to>
      <xdr:col>3</xdr:col>
      <xdr:colOff>239082</xdr:colOff>
      <xdr:row>17</xdr:row>
      <xdr:rowOff>82471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6DE294A-1AA2-4619-9356-6CBFE506630F}"/>
            </a:ext>
          </a:extLst>
        </xdr:cNvPr>
        <xdr:cNvCxnSpPr/>
      </xdr:nvCxnSpPr>
      <xdr:spPr>
        <a:xfrm flipH="1" flipV="1">
          <a:off x="1288869" y="3047999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248195</xdr:colOff>
      <xdr:row>18</xdr:row>
      <xdr:rowOff>104503</xdr:rowOff>
    </xdr:from>
    <xdr:to>
      <xdr:col>3</xdr:col>
      <xdr:colOff>273917</xdr:colOff>
      <xdr:row>19</xdr:row>
      <xdr:rowOff>56346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F0AE1C7-2F15-4DE0-9B0B-689C90384B59}"/>
            </a:ext>
          </a:extLst>
        </xdr:cNvPr>
        <xdr:cNvCxnSpPr/>
      </xdr:nvCxnSpPr>
      <xdr:spPr>
        <a:xfrm flipH="1" flipV="1">
          <a:off x="1323704" y="3387634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20</xdr:row>
      <xdr:rowOff>121920</xdr:rowOff>
    </xdr:from>
    <xdr:to>
      <xdr:col>3</xdr:col>
      <xdr:colOff>269562</xdr:colOff>
      <xdr:row>21</xdr:row>
      <xdr:rowOff>73763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B72795B-7C9C-4007-A73E-E265F35FFDD7}"/>
            </a:ext>
          </a:extLst>
        </xdr:cNvPr>
        <xdr:cNvCxnSpPr/>
      </xdr:nvCxnSpPr>
      <xdr:spPr>
        <a:xfrm flipH="1" flipV="1">
          <a:off x="1319349" y="3770811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22</xdr:row>
      <xdr:rowOff>117566</xdr:rowOff>
    </xdr:from>
    <xdr:to>
      <xdr:col>3</xdr:col>
      <xdr:colOff>269562</xdr:colOff>
      <xdr:row>23</xdr:row>
      <xdr:rowOff>69409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2821F9A-FA2C-4816-B97E-7052E0F94355}"/>
            </a:ext>
          </a:extLst>
        </xdr:cNvPr>
        <xdr:cNvCxnSpPr/>
      </xdr:nvCxnSpPr>
      <xdr:spPr>
        <a:xfrm flipH="1" flipV="1">
          <a:off x="1319349" y="4132217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328919</xdr:colOff>
      <xdr:row>23</xdr:row>
      <xdr:rowOff>95091</xdr:rowOff>
    </xdr:from>
    <xdr:to>
      <xdr:col>3</xdr:col>
      <xdr:colOff>226423</xdr:colOff>
      <xdr:row>24</xdr:row>
      <xdr:rowOff>86383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8EBD85F5-1895-413C-8351-CF1E4C2CE64C}"/>
            </a:ext>
          </a:extLst>
        </xdr:cNvPr>
        <xdr:cNvCxnSpPr>
          <a:stCxn id="18" idx="2"/>
          <a:endCxn id="19" idx="6"/>
        </xdr:cNvCxnSpPr>
      </xdr:nvCxnSpPr>
      <xdr:spPr>
        <a:xfrm flipH="1">
          <a:off x="2014028" y="4292622"/>
          <a:ext cx="507104" cy="17417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25</xdr:row>
      <xdr:rowOff>64372</xdr:rowOff>
    </xdr:from>
    <xdr:to>
      <xdr:col>3</xdr:col>
      <xdr:colOff>345498</xdr:colOff>
      <xdr:row>25</xdr:row>
      <xdr:rowOff>158760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AD5782C8-BD53-41C3-BF23-4A9C82847EDF}"/>
            </a:ext>
          </a:extLst>
        </xdr:cNvPr>
        <xdr:cNvSpPr/>
      </xdr:nvSpPr>
      <xdr:spPr>
        <a:xfrm>
          <a:off x="1688229" y="481648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301483</xdr:colOff>
      <xdr:row>24</xdr:row>
      <xdr:rowOff>117973</xdr:rowOff>
    </xdr:from>
    <xdr:to>
      <xdr:col>3</xdr:col>
      <xdr:colOff>331125</xdr:colOff>
      <xdr:row>25</xdr:row>
      <xdr:rowOff>144937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B7C13BD7-CD23-4168-984F-EA51047B2950}"/>
            </a:ext>
          </a:extLst>
        </xdr:cNvPr>
        <xdr:cNvCxnSpPr>
          <a:stCxn id="32" idx="5"/>
        </xdr:cNvCxnSpPr>
      </xdr:nvCxnSpPr>
      <xdr:spPr>
        <a:xfrm flipH="1" flipV="1">
          <a:off x="1215883" y="4686509"/>
          <a:ext cx="556115" cy="21053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217991</xdr:colOff>
      <xdr:row>13</xdr:row>
      <xdr:rowOff>61871</xdr:rowOff>
    </xdr:from>
    <xdr:to>
      <xdr:col>3</xdr:col>
      <xdr:colOff>316133</xdr:colOff>
      <xdr:row>13</xdr:row>
      <xdr:rowOff>156259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4BE89836-5E30-49C1-A92E-EC8E33926F8B}"/>
            </a:ext>
          </a:extLst>
        </xdr:cNvPr>
        <xdr:cNvSpPr/>
      </xdr:nvSpPr>
      <xdr:spPr>
        <a:xfrm>
          <a:off x="1907361" y="313256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AD0538DF-4F40-48F3-9CE6-E72CE16C3F8B}"/>
            </a:ext>
          </a:extLst>
        </xdr:cNvPr>
        <xdr:cNvSpPr/>
      </xdr:nvSpPr>
      <xdr:spPr>
        <a:xfrm>
          <a:off x="820103" y="220122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52FFA4F-6339-4EAD-AF27-4C91E51BC2EF}"/>
            </a:ext>
          </a:extLst>
        </xdr:cNvPr>
        <xdr:cNvSpPr/>
      </xdr:nvSpPr>
      <xdr:spPr>
        <a:xfrm>
          <a:off x="1313498" y="223456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2B21B7AE-A3EA-4A62-A008-594AB8919ADA}"/>
            </a:ext>
          </a:extLst>
        </xdr:cNvPr>
        <xdr:cNvSpPr/>
      </xdr:nvSpPr>
      <xdr:spPr>
        <a:xfrm>
          <a:off x="1839278" y="221075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A5522A98-D99D-4E7F-9A90-54EFF2E43230}"/>
            </a:ext>
          </a:extLst>
        </xdr:cNvPr>
        <xdr:cNvSpPr/>
      </xdr:nvSpPr>
      <xdr:spPr>
        <a:xfrm>
          <a:off x="2427923" y="220599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A37C5425-8B6A-4EB7-A72B-2A8C90A21BB2}"/>
            </a:ext>
          </a:extLst>
        </xdr:cNvPr>
        <xdr:cNvSpPr/>
      </xdr:nvSpPr>
      <xdr:spPr>
        <a:xfrm>
          <a:off x="2981325" y="220122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243840</xdr:colOff>
      <xdr:row>12</xdr:row>
      <xdr:rowOff>43542</xdr:rowOff>
    </xdr:from>
    <xdr:to>
      <xdr:col>5</xdr:col>
      <xdr:colOff>341982</xdr:colOff>
      <xdr:row>12</xdr:row>
      <xdr:rowOff>137930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997F552E-F124-49D8-932B-672A3115902B}"/>
            </a:ext>
          </a:extLst>
        </xdr:cNvPr>
        <xdr:cNvSpPr/>
      </xdr:nvSpPr>
      <xdr:spPr>
        <a:xfrm>
          <a:off x="3025140" y="258862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14</xdr:row>
      <xdr:rowOff>56606</xdr:rowOff>
    </xdr:from>
    <xdr:to>
      <xdr:col>1</xdr:col>
      <xdr:colOff>315856</xdr:colOff>
      <xdr:row>14</xdr:row>
      <xdr:rowOff>150994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2BEFAD9E-ED01-43F2-9146-45168D3DF32E}"/>
            </a:ext>
          </a:extLst>
        </xdr:cNvPr>
        <xdr:cNvSpPr/>
      </xdr:nvSpPr>
      <xdr:spPr>
        <a:xfrm>
          <a:off x="834934" y="314270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230777</xdr:colOff>
      <xdr:row>15</xdr:row>
      <xdr:rowOff>43543</xdr:rowOff>
    </xdr:from>
    <xdr:to>
      <xdr:col>3</xdr:col>
      <xdr:colOff>328919</xdr:colOff>
      <xdr:row>15</xdr:row>
      <xdr:rowOff>137931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D3E12D90-10E3-4143-98F4-6DF158725F9B}"/>
            </a:ext>
          </a:extLst>
        </xdr:cNvPr>
        <xdr:cNvSpPr/>
      </xdr:nvSpPr>
      <xdr:spPr>
        <a:xfrm>
          <a:off x="1922417" y="331252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187235</xdr:colOff>
      <xdr:row>16</xdr:row>
      <xdr:rowOff>52252</xdr:rowOff>
    </xdr:from>
    <xdr:to>
      <xdr:col>1</xdr:col>
      <xdr:colOff>285377</xdr:colOff>
      <xdr:row>16</xdr:row>
      <xdr:rowOff>146640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71CD1109-D322-4148-82EB-BA73AB950B39}"/>
            </a:ext>
          </a:extLst>
        </xdr:cNvPr>
        <xdr:cNvSpPr/>
      </xdr:nvSpPr>
      <xdr:spPr>
        <a:xfrm>
          <a:off x="804455" y="350411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18</xdr:row>
      <xdr:rowOff>30480</xdr:rowOff>
    </xdr:from>
    <xdr:to>
      <xdr:col>1</xdr:col>
      <xdr:colOff>315856</xdr:colOff>
      <xdr:row>18</xdr:row>
      <xdr:rowOff>124868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EBDF77CC-A11E-43F9-AFCC-50115EC49612}"/>
            </a:ext>
          </a:extLst>
        </xdr:cNvPr>
        <xdr:cNvSpPr/>
      </xdr:nvSpPr>
      <xdr:spPr>
        <a:xfrm>
          <a:off x="834934" y="38481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204652</xdr:colOff>
      <xdr:row>20</xdr:row>
      <xdr:rowOff>47897</xdr:rowOff>
    </xdr:from>
    <xdr:to>
      <xdr:col>1</xdr:col>
      <xdr:colOff>302794</xdr:colOff>
      <xdr:row>20</xdr:row>
      <xdr:rowOff>142285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1CFD904C-5860-4F74-B5A0-6499DEEDE84A}"/>
            </a:ext>
          </a:extLst>
        </xdr:cNvPr>
        <xdr:cNvSpPr/>
      </xdr:nvSpPr>
      <xdr:spPr>
        <a:xfrm>
          <a:off x="821872" y="423127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222068</xdr:colOff>
      <xdr:row>17</xdr:row>
      <xdr:rowOff>52251</xdr:rowOff>
    </xdr:from>
    <xdr:to>
      <xdr:col>3</xdr:col>
      <xdr:colOff>320210</xdr:colOff>
      <xdr:row>17</xdr:row>
      <xdr:rowOff>146639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C76EF626-DBAD-4305-9BCE-84E767E9ED4C}"/>
            </a:ext>
          </a:extLst>
        </xdr:cNvPr>
        <xdr:cNvSpPr/>
      </xdr:nvSpPr>
      <xdr:spPr>
        <a:xfrm>
          <a:off x="1913708" y="368699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19</xdr:row>
      <xdr:rowOff>43543</xdr:rowOff>
    </xdr:from>
    <xdr:to>
      <xdr:col>3</xdr:col>
      <xdr:colOff>324565</xdr:colOff>
      <xdr:row>19</xdr:row>
      <xdr:rowOff>137931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DDCADD01-3379-4C0E-B9FD-E12F1B79D0DC}"/>
            </a:ext>
          </a:extLst>
        </xdr:cNvPr>
        <xdr:cNvSpPr/>
      </xdr:nvSpPr>
      <xdr:spPr>
        <a:xfrm>
          <a:off x="1918063" y="404404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222069</xdr:colOff>
      <xdr:row>21</xdr:row>
      <xdr:rowOff>39188</xdr:rowOff>
    </xdr:from>
    <xdr:to>
      <xdr:col>3</xdr:col>
      <xdr:colOff>320211</xdr:colOff>
      <xdr:row>21</xdr:row>
      <xdr:rowOff>133576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3259BF58-1326-4DA2-949C-1CA7D1EFDA5F}"/>
            </a:ext>
          </a:extLst>
        </xdr:cNvPr>
        <xdr:cNvSpPr/>
      </xdr:nvSpPr>
      <xdr:spPr>
        <a:xfrm>
          <a:off x="1913709" y="440544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200298</xdr:colOff>
      <xdr:row>22</xdr:row>
      <xdr:rowOff>52251</xdr:rowOff>
    </xdr:from>
    <xdr:to>
      <xdr:col>1</xdr:col>
      <xdr:colOff>298440</xdr:colOff>
      <xdr:row>22</xdr:row>
      <xdr:rowOff>146639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11B82864-C522-40B9-8D3A-47683A404CDE}"/>
            </a:ext>
          </a:extLst>
        </xdr:cNvPr>
        <xdr:cNvSpPr/>
      </xdr:nvSpPr>
      <xdr:spPr>
        <a:xfrm>
          <a:off x="817518" y="460139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23</xdr:row>
      <xdr:rowOff>47897</xdr:rowOff>
    </xdr:from>
    <xdr:to>
      <xdr:col>3</xdr:col>
      <xdr:colOff>324565</xdr:colOff>
      <xdr:row>23</xdr:row>
      <xdr:rowOff>142285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7D766C58-4379-4FBB-84C5-128F2F1832A5}"/>
            </a:ext>
          </a:extLst>
        </xdr:cNvPr>
        <xdr:cNvSpPr/>
      </xdr:nvSpPr>
      <xdr:spPr>
        <a:xfrm>
          <a:off x="1918063" y="477991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230777</xdr:colOff>
      <xdr:row>24</xdr:row>
      <xdr:rowOff>39189</xdr:rowOff>
    </xdr:from>
    <xdr:to>
      <xdr:col>2</xdr:col>
      <xdr:colOff>328919</xdr:colOff>
      <xdr:row>24</xdr:row>
      <xdr:rowOff>133577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5589A482-9FC9-4749-A489-14E18E1ADB54}"/>
            </a:ext>
          </a:extLst>
        </xdr:cNvPr>
        <xdr:cNvSpPr/>
      </xdr:nvSpPr>
      <xdr:spPr>
        <a:xfrm>
          <a:off x="1396637" y="495408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304348</xdr:colOff>
      <xdr:row>12</xdr:row>
      <xdr:rowOff>57208</xdr:rowOff>
    </xdr:from>
    <xdr:to>
      <xdr:col>5</xdr:col>
      <xdr:colOff>345030</xdr:colOff>
      <xdr:row>13</xdr:row>
      <xdr:rowOff>32753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232DCF4-E8E5-4B73-A537-BAEB4AD433A0}"/>
            </a:ext>
          </a:extLst>
        </xdr:cNvPr>
        <xdr:cNvCxnSpPr>
          <a:cxnSpLocks/>
          <a:endCxn id="35" idx="7"/>
        </xdr:cNvCxnSpPr>
      </xdr:nvCxnSpPr>
      <xdr:spPr>
        <a:xfrm flipH="1">
          <a:off x="1724074" y="2960829"/>
          <a:ext cx="1095451" cy="168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217714</xdr:colOff>
      <xdr:row>13</xdr:row>
      <xdr:rowOff>32753</xdr:rowOff>
    </xdr:from>
    <xdr:to>
      <xdr:col>3</xdr:col>
      <xdr:colOff>304348</xdr:colOff>
      <xdr:row>14</xdr:row>
      <xdr:rowOff>103800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B920A41-F6BD-49FA-96E5-B115DFCD4652}"/>
            </a:ext>
          </a:extLst>
        </xdr:cNvPr>
        <xdr:cNvCxnSpPr>
          <a:cxnSpLocks/>
          <a:stCxn id="35" idx="7"/>
          <a:endCxn id="9" idx="2"/>
        </xdr:cNvCxnSpPr>
      </xdr:nvCxnSpPr>
      <xdr:spPr>
        <a:xfrm flipH="1">
          <a:off x="606735" y="3128879"/>
          <a:ext cx="1117339" cy="26355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256903</xdr:colOff>
      <xdr:row>15</xdr:row>
      <xdr:rowOff>108857</xdr:rowOff>
    </xdr:from>
    <xdr:to>
      <xdr:col>3</xdr:col>
      <xdr:colOff>240049</xdr:colOff>
      <xdr:row>16</xdr:row>
      <xdr:rowOff>119760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E777332-BD8B-42B3-B212-EF1581971D87}"/>
            </a:ext>
          </a:extLst>
        </xdr:cNvPr>
        <xdr:cNvCxnSpPr/>
      </xdr:nvCxnSpPr>
      <xdr:spPr>
        <a:xfrm flipH="1">
          <a:off x="874123" y="3377837"/>
          <a:ext cx="105756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248194</xdr:colOff>
      <xdr:row>17</xdr:row>
      <xdr:rowOff>91440</xdr:rowOff>
    </xdr:from>
    <xdr:to>
      <xdr:col>3</xdr:col>
      <xdr:colOff>231340</xdr:colOff>
      <xdr:row>18</xdr:row>
      <xdr:rowOff>102343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848EB11-95D0-4C50-8546-77B4EEF86A35}"/>
            </a:ext>
          </a:extLst>
        </xdr:cNvPr>
        <xdr:cNvCxnSpPr/>
      </xdr:nvCxnSpPr>
      <xdr:spPr>
        <a:xfrm flipH="1">
          <a:off x="865414" y="3726180"/>
          <a:ext cx="105756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269966</xdr:colOff>
      <xdr:row>19</xdr:row>
      <xdr:rowOff>74023</xdr:rowOff>
    </xdr:from>
    <xdr:to>
      <xdr:col>3</xdr:col>
      <xdr:colOff>253112</xdr:colOff>
      <xdr:row>20</xdr:row>
      <xdr:rowOff>84926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5EB2038-0891-4DC2-8C34-3A1DFCB2A49D}"/>
            </a:ext>
          </a:extLst>
        </xdr:cNvPr>
        <xdr:cNvCxnSpPr/>
      </xdr:nvCxnSpPr>
      <xdr:spPr>
        <a:xfrm flipH="1">
          <a:off x="887186" y="4074523"/>
          <a:ext cx="105756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261257</xdr:colOff>
      <xdr:row>21</xdr:row>
      <xdr:rowOff>82731</xdr:rowOff>
    </xdr:from>
    <xdr:to>
      <xdr:col>3</xdr:col>
      <xdr:colOff>244403</xdr:colOff>
      <xdr:row>22</xdr:row>
      <xdr:rowOff>93634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AF775A0-718D-45F9-A518-E8DA3BBD9B49}"/>
            </a:ext>
          </a:extLst>
        </xdr:cNvPr>
        <xdr:cNvCxnSpPr/>
      </xdr:nvCxnSpPr>
      <xdr:spPr>
        <a:xfrm flipH="1">
          <a:off x="878477" y="4448991"/>
          <a:ext cx="105756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291737</xdr:colOff>
      <xdr:row>14</xdr:row>
      <xdr:rowOff>130629</xdr:rowOff>
    </xdr:from>
    <xdr:to>
      <xdr:col>3</xdr:col>
      <xdr:colOff>317459</xdr:colOff>
      <xdr:row>15</xdr:row>
      <xdr:rowOff>82472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09F6175-C6BC-4EDE-AAF3-BD3E7A224888}"/>
            </a:ext>
          </a:extLst>
        </xdr:cNvPr>
        <xdr:cNvCxnSpPr/>
      </xdr:nvCxnSpPr>
      <xdr:spPr>
        <a:xfrm flipH="1" flipV="1">
          <a:off x="908957" y="3216729"/>
          <a:ext cx="110014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213360</xdr:colOff>
      <xdr:row>16</xdr:row>
      <xdr:rowOff>130628</xdr:rowOff>
    </xdr:from>
    <xdr:to>
      <xdr:col>3</xdr:col>
      <xdr:colOff>239082</xdr:colOff>
      <xdr:row>17</xdr:row>
      <xdr:rowOff>82471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9B68A34-AFDB-46F7-BD28-633E9153CD83}"/>
            </a:ext>
          </a:extLst>
        </xdr:cNvPr>
        <xdr:cNvCxnSpPr/>
      </xdr:nvCxnSpPr>
      <xdr:spPr>
        <a:xfrm flipH="1" flipV="1">
          <a:off x="830580" y="3582488"/>
          <a:ext cx="110014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248195</xdr:colOff>
      <xdr:row>18</xdr:row>
      <xdr:rowOff>104503</xdr:rowOff>
    </xdr:from>
    <xdr:to>
      <xdr:col>3</xdr:col>
      <xdr:colOff>273917</xdr:colOff>
      <xdr:row>19</xdr:row>
      <xdr:rowOff>56346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A6EE19AA-E1AB-4722-94A0-F95E427BD43F}"/>
            </a:ext>
          </a:extLst>
        </xdr:cNvPr>
        <xdr:cNvCxnSpPr/>
      </xdr:nvCxnSpPr>
      <xdr:spPr>
        <a:xfrm flipH="1" flipV="1">
          <a:off x="865415" y="3922123"/>
          <a:ext cx="110014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20</xdr:row>
      <xdr:rowOff>121920</xdr:rowOff>
    </xdr:from>
    <xdr:to>
      <xdr:col>3</xdr:col>
      <xdr:colOff>269562</xdr:colOff>
      <xdr:row>21</xdr:row>
      <xdr:rowOff>73763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2847A43-73F1-4CB5-97C1-2426B94DA305}"/>
            </a:ext>
          </a:extLst>
        </xdr:cNvPr>
        <xdr:cNvCxnSpPr/>
      </xdr:nvCxnSpPr>
      <xdr:spPr>
        <a:xfrm flipH="1" flipV="1">
          <a:off x="861060" y="4305300"/>
          <a:ext cx="110014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22</xdr:row>
      <xdr:rowOff>117566</xdr:rowOff>
    </xdr:from>
    <xdr:to>
      <xdr:col>3</xdr:col>
      <xdr:colOff>269562</xdr:colOff>
      <xdr:row>23</xdr:row>
      <xdr:rowOff>69409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BF48E11-00E8-4379-B571-3FC2363A821D}"/>
            </a:ext>
          </a:extLst>
        </xdr:cNvPr>
        <xdr:cNvCxnSpPr/>
      </xdr:nvCxnSpPr>
      <xdr:spPr>
        <a:xfrm flipH="1" flipV="1">
          <a:off x="861060" y="4666706"/>
          <a:ext cx="110014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328919</xdr:colOff>
      <xdr:row>23</xdr:row>
      <xdr:rowOff>95091</xdr:rowOff>
    </xdr:from>
    <xdr:to>
      <xdr:col>3</xdr:col>
      <xdr:colOff>226423</xdr:colOff>
      <xdr:row>24</xdr:row>
      <xdr:rowOff>86383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46ECEE5-1486-4F9E-9A4A-188CB88470E7}"/>
            </a:ext>
          </a:extLst>
        </xdr:cNvPr>
        <xdr:cNvCxnSpPr>
          <a:stCxn id="18" idx="2"/>
          <a:endCxn id="19" idx="6"/>
        </xdr:cNvCxnSpPr>
      </xdr:nvCxnSpPr>
      <xdr:spPr>
        <a:xfrm flipH="1">
          <a:off x="1494779" y="4827111"/>
          <a:ext cx="423284" cy="17417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25</xdr:row>
      <xdr:rowOff>64372</xdr:rowOff>
    </xdr:from>
    <xdr:to>
      <xdr:col>3</xdr:col>
      <xdr:colOff>345498</xdr:colOff>
      <xdr:row>25</xdr:row>
      <xdr:rowOff>158760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8124C5B8-337F-46DF-8216-E525976679B4}"/>
            </a:ext>
          </a:extLst>
        </xdr:cNvPr>
        <xdr:cNvSpPr/>
      </xdr:nvSpPr>
      <xdr:spPr>
        <a:xfrm>
          <a:off x="1938996" y="516215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301483</xdr:colOff>
      <xdr:row>24</xdr:row>
      <xdr:rowOff>117973</xdr:rowOff>
    </xdr:from>
    <xdr:to>
      <xdr:col>3</xdr:col>
      <xdr:colOff>331125</xdr:colOff>
      <xdr:row>25</xdr:row>
      <xdr:rowOff>144937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463CC258-110E-4FF1-9ECD-009D925FF357}"/>
            </a:ext>
          </a:extLst>
        </xdr:cNvPr>
        <xdr:cNvCxnSpPr>
          <a:stCxn id="32" idx="5"/>
        </xdr:cNvCxnSpPr>
      </xdr:nvCxnSpPr>
      <xdr:spPr>
        <a:xfrm flipH="1" flipV="1">
          <a:off x="1467343" y="5032873"/>
          <a:ext cx="555422" cy="20984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220579</xdr:colOff>
      <xdr:row>13</xdr:row>
      <xdr:rowOff>18930</xdr:rowOff>
    </xdr:from>
    <xdr:to>
      <xdr:col>3</xdr:col>
      <xdr:colOff>318721</xdr:colOff>
      <xdr:row>13</xdr:row>
      <xdr:rowOff>113318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9EDC48DA-951C-4E3C-B214-C28709CB7800}"/>
            </a:ext>
          </a:extLst>
        </xdr:cNvPr>
        <xdr:cNvSpPr/>
      </xdr:nvSpPr>
      <xdr:spPr>
        <a:xfrm>
          <a:off x="1640305" y="311505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91514</xdr:colOff>
      <xdr:row>11</xdr:row>
      <xdr:rowOff>43596</xdr:rowOff>
    </xdr:from>
    <xdr:to>
      <xdr:col>1</xdr:col>
      <xdr:colOff>243914</xdr:colOff>
      <xdr:row>11</xdr:row>
      <xdr:rowOff>194771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8DA97C94-FBFB-4772-A871-140CE13ACA1B}"/>
            </a:ext>
          </a:extLst>
        </xdr:cNvPr>
        <xdr:cNvSpPr/>
      </xdr:nvSpPr>
      <xdr:spPr>
        <a:xfrm>
          <a:off x="478376" y="2569919"/>
          <a:ext cx="15240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71439</xdr:colOff>
      <xdr:row>11</xdr:row>
      <xdr:rowOff>65209</xdr:rowOff>
    </xdr:from>
    <xdr:to>
      <xdr:col>2</xdr:col>
      <xdr:colOff>367666</xdr:colOff>
      <xdr:row>11</xdr:row>
      <xdr:rowOff>160459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B803F77-4F3B-47E3-89A8-A0AA10817F54}"/>
            </a:ext>
          </a:extLst>
        </xdr:cNvPr>
        <xdr:cNvSpPr/>
      </xdr:nvSpPr>
      <xdr:spPr>
        <a:xfrm>
          <a:off x="815854" y="2591532"/>
          <a:ext cx="29622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94885</xdr:colOff>
      <xdr:row>11</xdr:row>
      <xdr:rowOff>47259</xdr:rowOff>
    </xdr:from>
    <xdr:to>
      <xdr:col>3</xdr:col>
      <xdr:colOff>404447</xdr:colOff>
      <xdr:row>11</xdr:row>
      <xdr:rowOff>180608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5E45985-1B25-4FA8-A8D4-A348BF6D986E}"/>
            </a:ext>
          </a:extLst>
        </xdr:cNvPr>
        <xdr:cNvSpPr/>
      </xdr:nvSpPr>
      <xdr:spPr>
        <a:xfrm>
          <a:off x="1278916" y="2573582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113202</xdr:colOff>
      <xdr:row>11</xdr:row>
      <xdr:rowOff>36634</xdr:rowOff>
    </xdr:from>
    <xdr:to>
      <xdr:col>4</xdr:col>
      <xdr:colOff>294177</xdr:colOff>
      <xdr:row>11</xdr:row>
      <xdr:rowOff>179509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9649BB9E-CA9E-402F-9BA6-C3D697A4B91A}"/>
            </a:ext>
          </a:extLst>
        </xdr:cNvPr>
        <xdr:cNvSpPr/>
      </xdr:nvSpPr>
      <xdr:spPr>
        <a:xfrm>
          <a:off x="1813048" y="2562957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205886</xdr:colOff>
      <xdr:row>11</xdr:row>
      <xdr:rowOff>20149</xdr:rowOff>
    </xdr:from>
    <xdr:to>
      <xdr:col>5</xdr:col>
      <xdr:colOff>386861</xdr:colOff>
      <xdr:row>11</xdr:row>
      <xdr:rowOff>144926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74F5701F-0E8A-4EDA-90F7-453C402897FA}"/>
            </a:ext>
          </a:extLst>
        </xdr:cNvPr>
        <xdr:cNvSpPr/>
      </xdr:nvSpPr>
      <xdr:spPr>
        <a:xfrm>
          <a:off x="2345348" y="2546472"/>
          <a:ext cx="180975" cy="12477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243840</xdr:colOff>
      <xdr:row>12</xdr:row>
      <xdr:rowOff>43542</xdr:rowOff>
    </xdr:from>
    <xdr:to>
      <xdr:col>5</xdr:col>
      <xdr:colOff>341982</xdr:colOff>
      <xdr:row>12</xdr:row>
      <xdr:rowOff>137930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25EEA56F-64EE-4A3A-92C3-A302A8230C48}"/>
            </a:ext>
          </a:extLst>
        </xdr:cNvPr>
        <xdr:cNvSpPr/>
      </xdr:nvSpPr>
      <xdr:spPr>
        <a:xfrm>
          <a:off x="2712720" y="328966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14</xdr:row>
      <xdr:rowOff>56606</xdr:rowOff>
    </xdr:from>
    <xdr:to>
      <xdr:col>1</xdr:col>
      <xdr:colOff>315856</xdr:colOff>
      <xdr:row>14</xdr:row>
      <xdr:rowOff>150994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291FBA1C-1346-42A8-99DC-BC824CF7CA91}"/>
            </a:ext>
          </a:extLst>
        </xdr:cNvPr>
        <xdr:cNvSpPr/>
      </xdr:nvSpPr>
      <xdr:spPr>
        <a:xfrm>
          <a:off x="606334" y="384374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230777</xdr:colOff>
      <xdr:row>15</xdr:row>
      <xdr:rowOff>43543</xdr:rowOff>
    </xdr:from>
    <xdr:to>
      <xdr:col>3</xdr:col>
      <xdr:colOff>328919</xdr:colOff>
      <xdr:row>15</xdr:row>
      <xdr:rowOff>137931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3DD6DF4E-7558-486E-ADA8-25ECCE214B7C}"/>
            </a:ext>
          </a:extLst>
        </xdr:cNvPr>
        <xdr:cNvSpPr/>
      </xdr:nvSpPr>
      <xdr:spPr>
        <a:xfrm>
          <a:off x="1648097" y="401356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187235</xdr:colOff>
      <xdr:row>16</xdr:row>
      <xdr:rowOff>52252</xdr:rowOff>
    </xdr:from>
    <xdr:to>
      <xdr:col>1</xdr:col>
      <xdr:colOff>285377</xdr:colOff>
      <xdr:row>16</xdr:row>
      <xdr:rowOff>146640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D1E10688-F010-415E-A4D3-C1136FC3544D}"/>
            </a:ext>
          </a:extLst>
        </xdr:cNvPr>
        <xdr:cNvSpPr/>
      </xdr:nvSpPr>
      <xdr:spPr>
        <a:xfrm>
          <a:off x="575855" y="420515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18</xdr:row>
      <xdr:rowOff>30480</xdr:rowOff>
    </xdr:from>
    <xdr:to>
      <xdr:col>1</xdr:col>
      <xdr:colOff>315856</xdr:colOff>
      <xdr:row>18</xdr:row>
      <xdr:rowOff>124868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A4523942-64F8-41C1-9B2B-B20D5B4DB880}"/>
            </a:ext>
          </a:extLst>
        </xdr:cNvPr>
        <xdr:cNvSpPr/>
      </xdr:nvSpPr>
      <xdr:spPr>
        <a:xfrm>
          <a:off x="606334" y="454914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204652</xdr:colOff>
      <xdr:row>20</xdr:row>
      <xdr:rowOff>47897</xdr:rowOff>
    </xdr:from>
    <xdr:to>
      <xdr:col>1</xdr:col>
      <xdr:colOff>302794</xdr:colOff>
      <xdr:row>20</xdr:row>
      <xdr:rowOff>142285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2A3F81E9-0C2F-4A77-BC9F-DF2AF849C81E}"/>
            </a:ext>
          </a:extLst>
        </xdr:cNvPr>
        <xdr:cNvSpPr/>
      </xdr:nvSpPr>
      <xdr:spPr>
        <a:xfrm>
          <a:off x="593272" y="493231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222068</xdr:colOff>
      <xdr:row>17</xdr:row>
      <xdr:rowOff>52251</xdr:rowOff>
    </xdr:from>
    <xdr:to>
      <xdr:col>3</xdr:col>
      <xdr:colOff>320210</xdr:colOff>
      <xdr:row>17</xdr:row>
      <xdr:rowOff>146639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A81C05D6-D8C8-4008-AFDE-B3CA250B6452}"/>
            </a:ext>
          </a:extLst>
        </xdr:cNvPr>
        <xdr:cNvSpPr/>
      </xdr:nvSpPr>
      <xdr:spPr>
        <a:xfrm>
          <a:off x="1639388" y="438803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19</xdr:row>
      <xdr:rowOff>43543</xdr:rowOff>
    </xdr:from>
    <xdr:to>
      <xdr:col>3</xdr:col>
      <xdr:colOff>324565</xdr:colOff>
      <xdr:row>19</xdr:row>
      <xdr:rowOff>137931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7DCEE1EC-7596-401E-8C8D-A8B21E128D58}"/>
            </a:ext>
          </a:extLst>
        </xdr:cNvPr>
        <xdr:cNvSpPr/>
      </xdr:nvSpPr>
      <xdr:spPr>
        <a:xfrm>
          <a:off x="1643743" y="474508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222069</xdr:colOff>
      <xdr:row>21</xdr:row>
      <xdr:rowOff>39188</xdr:rowOff>
    </xdr:from>
    <xdr:to>
      <xdr:col>3</xdr:col>
      <xdr:colOff>320211</xdr:colOff>
      <xdr:row>21</xdr:row>
      <xdr:rowOff>133576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3B6B221B-573C-4367-86D8-66BDE375E395}"/>
            </a:ext>
          </a:extLst>
        </xdr:cNvPr>
        <xdr:cNvSpPr/>
      </xdr:nvSpPr>
      <xdr:spPr>
        <a:xfrm>
          <a:off x="1639389" y="510648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200298</xdr:colOff>
      <xdr:row>22</xdr:row>
      <xdr:rowOff>52251</xdr:rowOff>
    </xdr:from>
    <xdr:to>
      <xdr:col>1</xdr:col>
      <xdr:colOff>298440</xdr:colOff>
      <xdr:row>22</xdr:row>
      <xdr:rowOff>146639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50F94F8F-9831-48BD-A65D-149EBF43177D}"/>
            </a:ext>
          </a:extLst>
        </xdr:cNvPr>
        <xdr:cNvSpPr/>
      </xdr:nvSpPr>
      <xdr:spPr>
        <a:xfrm>
          <a:off x="588918" y="530243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23</xdr:row>
      <xdr:rowOff>47897</xdr:rowOff>
    </xdr:from>
    <xdr:to>
      <xdr:col>3</xdr:col>
      <xdr:colOff>324565</xdr:colOff>
      <xdr:row>23</xdr:row>
      <xdr:rowOff>142285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BC9D88D6-0BDC-48E3-B887-D93D1B2E6A14}"/>
            </a:ext>
          </a:extLst>
        </xdr:cNvPr>
        <xdr:cNvSpPr/>
      </xdr:nvSpPr>
      <xdr:spPr>
        <a:xfrm>
          <a:off x="1643743" y="548095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230777</xdr:colOff>
      <xdr:row>24</xdr:row>
      <xdr:rowOff>39189</xdr:rowOff>
    </xdr:from>
    <xdr:to>
      <xdr:col>2</xdr:col>
      <xdr:colOff>328919</xdr:colOff>
      <xdr:row>24</xdr:row>
      <xdr:rowOff>133577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71AF8B1F-530E-4330-B69D-DD5E87047A09}"/>
            </a:ext>
          </a:extLst>
        </xdr:cNvPr>
        <xdr:cNvSpPr/>
      </xdr:nvSpPr>
      <xdr:spPr>
        <a:xfrm>
          <a:off x="1099457" y="565512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189766</xdr:colOff>
      <xdr:row>12</xdr:row>
      <xdr:rowOff>90736</xdr:rowOff>
    </xdr:from>
    <xdr:to>
      <xdr:col>5</xdr:col>
      <xdr:colOff>341982</xdr:colOff>
      <xdr:row>13</xdr:row>
      <xdr:rowOff>48325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274B8BA-DAF5-401D-ACEE-4E1BC165C60C}"/>
            </a:ext>
          </a:extLst>
        </xdr:cNvPr>
        <xdr:cNvCxnSpPr>
          <a:cxnSpLocks/>
          <a:stCxn id="7" idx="6"/>
          <a:endCxn id="34" idx="1"/>
        </xdr:cNvCxnSpPr>
      </xdr:nvCxnSpPr>
      <xdr:spPr>
        <a:xfrm flipH="1">
          <a:off x="1380211" y="2785053"/>
          <a:ext cx="1112624" cy="14737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217714</xdr:colOff>
      <xdr:row>13</xdr:row>
      <xdr:rowOff>74572</xdr:rowOff>
    </xdr:from>
    <xdr:to>
      <xdr:col>3</xdr:col>
      <xdr:colOff>256785</xdr:colOff>
      <xdr:row>14</xdr:row>
      <xdr:rowOff>103800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C027A61-1B6E-46C2-AF15-38A034198D9F}"/>
            </a:ext>
          </a:extLst>
        </xdr:cNvPr>
        <xdr:cNvCxnSpPr>
          <a:endCxn id="9" idx="2"/>
        </xdr:cNvCxnSpPr>
      </xdr:nvCxnSpPr>
      <xdr:spPr>
        <a:xfrm flipH="1">
          <a:off x="605903" y="2958670"/>
          <a:ext cx="841327" cy="21900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256903</xdr:colOff>
      <xdr:row>15</xdr:row>
      <xdr:rowOff>108857</xdr:rowOff>
    </xdr:from>
    <xdr:to>
      <xdr:col>3</xdr:col>
      <xdr:colOff>240049</xdr:colOff>
      <xdr:row>16</xdr:row>
      <xdr:rowOff>119760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1808256-C79B-46FD-B993-9955A796170E}"/>
            </a:ext>
          </a:extLst>
        </xdr:cNvPr>
        <xdr:cNvCxnSpPr/>
      </xdr:nvCxnSpPr>
      <xdr:spPr>
        <a:xfrm flipH="1">
          <a:off x="645523" y="4078877"/>
          <a:ext cx="10118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248194</xdr:colOff>
      <xdr:row>17</xdr:row>
      <xdr:rowOff>91440</xdr:rowOff>
    </xdr:from>
    <xdr:to>
      <xdr:col>3</xdr:col>
      <xdr:colOff>231340</xdr:colOff>
      <xdr:row>18</xdr:row>
      <xdr:rowOff>102343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82256366-4C0A-489E-9F88-F2ED506921D5}"/>
            </a:ext>
          </a:extLst>
        </xdr:cNvPr>
        <xdr:cNvCxnSpPr/>
      </xdr:nvCxnSpPr>
      <xdr:spPr>
        <a:xfrm flipH="1">
          <a:off x="636814" y="4427220"/>
          <a:ext cx="10118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269966</xdr:colOff>
      <xdr:row>19</xdr:row>
      <xdr:rowOff>74023</xdr:rowOff>
    </xdr:from>
    <xdr:to>
      <xdr:col>3</xdr:col>
      <xdr:colOff>253112</xdr:colOff>
      <xdr:row>20</xdr:row>
      <xdr:rowOff>84926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4FAAB0A-A06D-44B4-9EDB-EDA20998F3CB}"/>
            </a:ext>
          </a:extLst>
        </xdr:cNvPr>
        <xdr:cNvCxnSpPr/>
      </xdr:nvCxnSpPr>
      <xdr:spPr>
        <a:xfrm flipH="1">
          <a:off x="658586" y="4775563"/>
          <a:ext cx="10118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261257</xdr:colOff>
      <xdr:row>21</xdr:row>
      <xdr:rowOff>82731</xdr:rowOff>
    </xdr:from>
    <xdr:to>
      <xdr:col>3</xdr:col>
      <xdr:colOff>244403</xdr:colOff>
      <xdr:row>22</xdr:row>
      <xdr:rowOff>93634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D332436-20F7-4924-B2F6-3EC7F75375C2}"/>
            </a:ext>
          </a:extLst>
        </xdr:cNvPr>
        <xdr:cNvCxnSpPr/>
      </xdr:nvCxnSpPr>
      <xdr:spPr>
        <a:xfrm flipH="1">
          <a:off x="649877" y="5150031"/>
          <a:ext cx="10118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291737</xdr:colOff>
      <xdr:row>14</xdr:row>
      <xdr:rowOff>130629</xdr:rowOff>
    </xdr:from>
    <xdr:to>
      <xdr:col>3</xdr:col>
      <xdr:colOff>317459</xdr:colOff>
      <xdr:row>15</xdr:row>
      <xdr:rowOff>82472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32BF720-9A70-4408-92E4-845501BEBD21}"/>
            </a:ext>
          </a:extLst>
        </xdr:cNvPr>
        <xdr:cNvCxnSpPr/>
      </xdr:nvCxnSpPr>
      <xdr:spPr>
        <a:xfrm flipH="1" flipV="1">
          <a:off x="680357" y="3917769"/>
          <a:ext cx="10544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213360</xdr:colOff>
      <xdr:row>16</xdr:row>
      <xdr:rowOff>130628</xdr:rowOff>
    </xdr:from>
    <xdr:to>
      <xdr:col>3</xdr:col>
      <xdr:colOff>239082</xdr:colOff>
      <xdr:row>17</xdr:row>
      <xdr:rowOff>82471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76C3EB71-A773-4661-B705-B18E2807ADB9}"/>
            </a:ext>
          </a:extLst>
        </xdr:cNvPr>
        <xdr:cNvCxnSpPr/>
      </xdr:nvCxnSpPr>
      <xdr:spPr>
        <a:xfrm flipH="1" flipV="1">
          <a:off x="601980" y="4283528"/>
          <a:ext cx="10544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248195</xdr:colOff>
      <xdr:row>18</xdr:row>
      <xdr:rowOff>104503</xdr:rowOff>
    </xdr:from>
    <xdr:to>
      <xdr:col>3</xdr:col>
      <xdr:colOff>273917</xdr:colOff>
      <xdr:row>19</xdr:row>
      <xdr:rowOff>56346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128A20F-9D8E-4A20-9D0F-11A0B88B6C51}"/>
            </a:ext>
          </a:extLst>
        </xdr:cNvPr>
        <xdr:cNvCxnSpPr/>
      </xdr:nvCxnSpPr>
      <xdr:spPr>
        <a:xfrm flipH="1" flipV="1">
          <a:off x="636815" y="4623163"/>
          <a:ext cx="10544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20</xdr:row>
      <xdr:rowOff>121920</xdr:rowOff>
    </xdr:from>
    <xdr:to>
      <xdr:col>3</xdr:col>
      <xdr:colOff>269562</xdr:colOff>
      <xdr:row>21</xdr:row>
      <xdr:rowOff>73763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E4C0CD06-142C-47A5-98EA-BAD287D9D13F}"/>
            </a:ext>
          </a:extLst>
        </xdr:cNvPr>
        <xdr:cNvCxnSpPr/>
      </xdr:nvCxnSpPr>
      <xdr:spPr>
        <a:xfrm flipH="1" flipV="1">
          <a:off x="632460" y="5006340"/>
          <a:ext cx="10544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22</xdr:row>
      <xdr:rowOff>117566</xdr:rowOff>
    </xdr:from>
    <xdr:to>
      <xdr:col>3</xdr:col>
      <xdr:colOff>269562</xdr:colOff>
      <xdr:row>23</xdr:row>
      <xdr:rowOff>69409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D2DD6FD-EEAF-4562-8D34-22209E07AA64}"/>
            </a:ext>
          </a:extLst>
        </xdr:cNvPr>
        <xdr:cNvCxnSpPr/>
      </xdr:nvCxnSpPr>
      <xdr:spPr>
        <a:xfrm flipH="1" flipV="1">
          <a:off x="632460" y="5367746"/>
          <a:ext cx="10544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328919</xdr:colOff>
      <xdr:row>23</xdr:row>
      <xdr:rowOff>95091</xdr:rowOff>
    </xdr:from>
    <xdr:to>
      <xdr:col>3</xdr:col>
      <xdr:colOff>226423</xdr:colOff>
      <xdr:row>24</xdr:row>
      <xdr:rowOff>86383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96B9057-D653-4443-93BD-DACAC0BD2F82}"/>
            </a:ext>
          </a:extLst>
        </xdr:cNvPr>
        <xdr:cNvCxnSpPr>
          <a:stCxn id="18" idx="2"/>
          <a:endCxn id="19" idx="6"/>
        </xdr:cNvCxnSpPr>
      </xdr:nvCxnSpPr>
      <xdr:spPr>
        <a:xfrm flipH="1">
          <a:off x="1197599" y="5528151"/>
          <a:ext cx="446144" cy="17417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25</xdr:row>
      <xdr:rowOff>64372</xdr:rowOff>
    </xdr:from>
    <xdr:to>
      <xdr:col>3</xdr:col>
      <xdr:colOff>345498</xdr:colOff>
      <xdr:row>25</xdr:row>
      <xdr:rowOff>158760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27EB14D7-5510-4287-9BF2-FE51B56E38E1}"/>
            </a:ext>
          </a:extLst>
        </xdr:cNvPr>
        <xdr:cNvSpPr/>
      </xdr:nvSpPr>
      <xdr:spPr>
        <a:xfrm>
          <a:off x="1664676" y="586319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301483</xdr:colOff>
      <xdr:row>24</xdr:row>
      <xdr:rowOff>117973</xdr:rowOff>
    </xdr:from>
    <xdr:to>
      <xdr:col>3</xdr:col>
      <xdr:colOff>331125</xdr:colOff>
      <xdr:row>25</xdr:row>
      <xdr:rowOff>144937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174427B-D176-434E-AC54-0E998F8C41C7}"/>
            </a:ext>
          </a:extLst>
        </xdr:cNvPr>
        <xdr:cNvCxnSpPr>
          <a:stCxn id="32" idx="5"/>
        </xdr:cNvCxnSpPr>
      </xdr:nvCxnSpPr>
      <xdr:spPr>
        <a:xfrm flipH="1" flipV="1">
          <a:off x="1170163" y="5733913"/>
          <a:ext cx="578282" cy="20984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175393</xdr:colOff>
      <xdr:row>13</xdr:row>
      <xdr:rowOff>34502</xdr:rowOff>
    </xdr:from>
    <xdr:to>
      <xdr:col>3</xdr:col>
      <xdr:colOff>273535</xdr:colOff>
      <xdr:row>13</xdr:row>
      <xdr:rowOff>128890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D0B243F4-FE02-478B-B46D-5CE05745E42E}"/>
            </a:ext>
          </a:extLst>
        </xdr:cNvPr>
        <xdr:cNvSpPr/>
      </xdr:nvSpPr>
      <xdr:spPr>
        <a:xfrm>
          <a:off x="1365838" y="29186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358B-7598-43F0-B912-9B08FC1719FE}">
  <dimension ref="A6:H33"/>
  <sheetViews>
    <sheetView tabSelected="1" view="pageLayout" topLeftCell="A4" zoomScale="115" zoomScaleNormal="107" zoomScalePageLayoutView="115" workbookViewId="0">
      <selection activeCell="G20" sqref="G20"/>
    </sheetView>
  </sheetViews>
  <sheetFormatPr defaultRowHeight="13.8" x14ac:dyDescent="0.25"/>
  <cols>
    <col min="1" max="1" width="5.44140625" style="1" bestFit="1" customWidth="1"/>
    <col min="2" max="2" width="7" style="1" customWidth="1"/>
    <col min="3" max="3" width="6.44140625" style="1" customWidth="1"/>
    <col min="4" max="4" width="6.33203125" style="1" customWidth="1"/>
    <col min="5" max="5" width="6.21875" style="1" customWidth="1"/>
    <col min="6" max="6" width="7.88671875" style="1" customWidth="1"/>
    <col min="7" max="7" width="34.21875" style="1" customWidth="1"/>
    <col min="8" max="8" width="13.44140625" style="1" customWidth="1"/>
    <col min="9" max="16384" width="8.88671875" style="1"/>
  </cols>
  <sheetData>
    <row r="6" spans="1:8" ht="15.6" x14ac:dyDescent="0.3">
      <c r="A6" s="29" t="s">
        <v>13</v>
      </c>
      <c r="B6" s="29"/>
      <c r="C6" s="29"/>
      <c r="D6" s="29"/>
      <c r="E6" s="29"/>
      <c r="F6" s="29"/>
      <c r="G6" s="29"/>
      <c r="H6" s="29"/>
    </row>
    <row r="7" spans="1:8" ht="15" x14ac:dyDescent="0.25">
      <c r="A7" s="37" t="s">
        <v>66</v>
      </c>
      <c r="B7" s="38"/>
      <c r="C7" s="38"/>
      <c r="D7" s="38"/>
      <c r="E7" s="38"/>
      <c r="F7" s="39"/>
      <c r="G7" s="36" t="s">
        <v>2</v>
      </c>
      <c r="H7" s="36"/>
    </row>
    <row r="8" spans="1:8" ht="15.6" x14ac:dyDescent="0.3">
      <c r="A8" s="34" t="s">
        <v>83</v>
      </c>
      <c r="B8" s="34"/>
      <c r="C8" s="34"/>
      <c r="D8" s="34"/>
      <c r="E8" s="34"/>
      <c r="F8" s="34"/>
      <c r="G8" s="36"/>
      <c r="H8" s="36"/>
    </row>
    <row r="9" spans="1:8" ht="15" x14ac:dyDescent="0.25">
      <c r="A9" s="35" t="s">
        <v>23</v>
      </c>
      <c r="B9" s="35"/>
      <c r="C9" s="35"/>
      <c r="D9" s="35"/>
      <c r="E9" s="35"/>
      <c r="F9" s="35"/>
      <c r="G9" s="4"/>
      <c r="H9" s="5" t="s">
        <v>95</v>
      </c>
    </row>
    <row r="10" spans="1:8" ht="15" x14ac:dyDescent="0.25">
      <c r="A10" s="35"/>
      <c r="B10" s="35"/>
      <c r="C10" s="35"/>
      <c r="D10" s="35"/>
      <c r="E10" s="35"/>
      <c r="F10" s="35"/>
      <c r="G10" s="4" t="s">
        <v>3</v>
      </c>
      <c r="H10" s="3">
        <v>2</v>
      </c>
    </row>
    <row r="11" spans="1:8" ht="15" x14ac:dyDescent="0.25">
      <c r="A11" s="28" t="s">
        <v>1</v>
      </c>
      <c r="B11" s="28"/>
      <c r="C11" s="28"/>
      <c r="D11" s="28"/>
      <c r="E11" s="28"/>
      <c r="F11" s="28"/>
      <c r="G11" s="4" t="s">
        <v>4</v>
      </c>
      <c r="H11" s="3">
        <v>5</v>
      </c>
    </row>
    <row r="12" spans="1:8" ht="15" x14ac:dyDescent="0.25">
      <c r="A12" s="28"/>
      <c r="B12" s="28"/>
      <c r="C12" s="28"/>
      <c r="D12" s="28"/>
      <c r="E12" s="28"/>
      <c r="F12" s="28"/>
      <c r="G12" s="4" t="s">
        <v>5</v>
      </c>
      <c r="H12" s="3">
        <v>5</v>
      </c>
    </row>
    <row r="13" spans="1:8" ht="15" x14ac:dyDescent="0.25">
      <c r="A13" s="28" t="s">
        <v>10</v>
      </c>
      <c r="B13" s="28"/>
      <c r="C13" s="28"/>
      <c r="D13" s="28"/>
      <c r="E13" s="28"/>
      <c r="F13" s="28"/>
      <c r="G13" s="4" t="s">
        <v>6</v>
      </c>
      <c r="H13" s="3">
        <v>1</v>
      </c>
    </row>
    <row r="14" spans="1:8" ht="15" x14ac:dyDescent="0.25">
      <c r="A14" s="28"/>
      <c r="B14" s="28"/>
      <c r="C14" s="28"/>
      <c r="D14" s="28"/>
      <c r="E14" s="28"/>
      <c r="F14" s="28"/>
      <c r="G14" s="4" t="s">
        <v>7</v>
      </c>
      <c r="H14" s="3">
        <v>0</v>
      </c>
    </row>
    <row r="15" spans="1:8" ht="15" x14ac:dyDescent="0.25">
      <c r="A15" s="28"/>
      <c r="B15" s="28"/>
      <c r="C15" s="28"/>
      <c r="D15" s="28"/>
      <c r="E15" s="28"/>
      <c r="F15" s="28"/>
      <c r="G15" s="4" t="s">
        <v>8</v>
      </c>
      <c r="H15" s="3">
        <v>12</v>
      </c>
    </row>
    <row r="16" spans="1:8" ht="15" x14ac:dyDescent="0.25">
      <c r="A16" s="28"/>
      <c r="B16" s="28"/>
      <c r="C16" s="28"/>
      <c r="D16" s="28"/>
      <c r="E16" s="28"/>
      <c r="F16" s="28"/>
      <c r="G16" s="4" t="s">
        <v>9</v>
      </c>
      <c r="H16" s="4"/>
    </row>
    <row r="17" spans="1:8" ht="15.6" x14ac:dyDescent="0.3">
      <c r="A17" s="17" t="s">
        <v>0</v>
      </c>
      <c r="B17" s="18"/>
      <c r="C17" s="18"/>
      <c r="D17" s="18"/>
      <c r="E17" s="18"/>
      <c r="F17" s="18"/>
      <c r="G17" s="19" t="s">
        <v>11</v>
      </c>
      <c r="H17" s="19" t="s">
        <v>12</v>
      </c>
    </row>
    <row r="18" spans="1:8" ht="15" x14ac:dyDescent="0.25">
      <c r="A18" s="6">
        <v>1</v>
      </c>
      <c r="B18" s="15"/>
      <c r="C18" s="15"/>
      <c r="D18" s="16"/>
      <c r="E18" s="15"/>
      <c r="F18" s="15">
        <v>1</v>
      </c>
      <c r="G18" s="4" t="s">
        <v>14</v>
      </c>
      <c r="H18" s="4"/>
    </row>
    <row r="19" spans="1:8" ht="15" x14ac:dyDescent="0.25">
      <c r="A19" s="6">
        <f>A18+1</f>
        <v>2</v>
      </c>
      <c r="B19" s="15"/>
      <c r="C19" s="15"/>
      <c r="D19" s="16">
        <v>1</v>
      </c>
      <c r="E19" s="15"/>
      <c r="F19" s="15"/>
      <c r="G19" s="4" t="s">
        <v>86</v>
      </c>
      <c r="H19" s="4"/>
    </row>
    <row r="20" spans="1:8" ht="15" x14ac:dyDescent="0.25">
      <c r="A20" s="6">
        <f t="shared" ref="A20:A31" si="0">A19+1</f>
        <v>3</v>
      </c>
      <c r="B20" s="15">
        <v>1</v>
      </c>
      <c r="C20" s="15"/>
      <c r="D20" s="16"/>
      <c r="E20" s="15"/>
      <c r="F20" s="15"/>
      <c r="G20" s="4" t="s">
        <v>15</v>
      </c>
      <c r="H20" s="4"/>
    </row>
    <row r="21" spans="1:8" ht="15" x14ac:dyDescent="0.25">
      <c r="A21" s="6">
        <f t="shared" si="0"/>
        <v>4</v>
      </c>
      <c r="B21" s="15"/>
      <c r="C21" s="15"/>
      <c r="D21" s="16">
        <v>2</v>
      </c>
      <c r="E21" s="15"/>
      <c r="F21" s="15"/>
      <c r="G21" s="4" t="s">
        <v>16</v>
      </c>
      <c r="H21" s="4"/>
    </row>
    <row r="22" spans="1:8" ht="15" x14ac:dyDescent="0.25">
      <c r="A22" s="6">
        <v>5</v>
      </c>
      <c r="B22" s="15">
        <v>2</v>
      </c>
      <c r="C22" s="15"/>
      <c r="D22" s="16"/>
      <c r="E22" s="15"/>
      <c r="F22" s="15"/>
      <c r="G22" s="4" t="s">
        <v>25</v>
      </c>
      <c r="H22" s="4"/>
    </row>
    <row r="23" spans="1:8" ht="15" x14ac:dyDescent="0.25">
      <c r="A23" s="6">
        <v>6</v>
      </c>
      <c r="B23" s="15"/>
      <c r="C23" s="15"/>
      <c r="D23" s="16">
        <v>3</v>
      </c>
      <c r="E23" s="15"/>
      <c r="F23" s="15"/>
      <c r="G23" s="4" t="s">
        <v>44</v>
      </c>
      <c r="H23" s="4"/>
    </row>
    <row r="24" spans="1:8" ht="15" x14ac:dyDescent="0.25">
      <c r="A24" s="6">
        <v>7</v>
      </c>
      <c r="B24" s="15">
        <v>3</v>
      </c>
      <c r="C24" s="15"/>
      <c r="D24" s="16"/>
      <c r="E24" s="15"/>
      <c r="F24" s="15"/>
      <c r="G24" s="4" t="s">
        <v>17</v>
      </c>
      <c r="H24" s="4"/>
    </row>
    <row r="25" spans="1:8" ht="15" x14ac:dyDescent="0.25">
      <c r="A25" s="6">
        <f t="shared" si="0"/>
        <v>8</v>
      </c>
      <c r="B25" s="15"/>
      <c r="C25" s="15"/>
      <c r="D25" s="16">
        <v>4</v>
      </c>
      <c r="E25" s="15"/>
      <c r="F25" s="15"/>
      <c r="G25" s="4" t="s">
        <v>18</v>
      </c>
      <c r="H25" s="4"/>
    </row>
    <row r="26" spans="1:8" ht="15" x14ac:dyDescent="0.25">
      <c r="A26" s="6">
        <f t="shared" si="0"/>
        <v>9</v>
      </c>
      <c r="B26" s="15">
        <v>4</v>
      </c>
      <c r="C26" s="15"/>
      <c r="D26" s="16"/>
      <c r="E26" s="15"/>
      <c r="F26" s="15"/>
      <c r="G26" s="4" t="s">
        <v>19</v>
      </c>
      <c r="H26" s="4"/>
    </row>
    <row r="27" spans="1:8" ht="15" x14ac:dyDescent="0.25">
      <c r="A27" s="6">
        <f t="shared" si="0"/>
        <v>10</v>
      </c>
      <c r="B27" s="15">
        <v>5</v>
      </c>
      <c r="C27" s="15"/>
      <c r="D27" s="16"/>
      <c r="E27" s="15"/>
      <c r="F27" s="15"/>
      <c r="G27" s="4" t="s">
        <v>20</v>
      </c>
      <c r="H27" s="4"/>
    </row>
    <row r="28" spans="1:8" ht="15" x14ac:dyDescent="0.25">
      <c r="A28" s="6">
        <f t="shared" si="0"/>
        <v>11</v>
      </c>
      <c r="B28" s="15"/>
      <c r="C28" s="15"/>
      <c r="D28" s="16">
        <v>5</v>
      </c>
      <c r="E28" s="15"/>
      <c r="F28" s="15"/>
      <c r="G28" s="4" t="s">
        <v>21</v>
      </c>
      <c r="H28" s="4"/>
    </row>
    <row r="29" spans="1:8" ht="30" x14ac:dyDescent="0.25">
      <c r="A29" s="6">
        <f t="shared" si="0"/>
        <v>12</v>
      </c>
      <c r="B29" s="15"/>
      <c r="C29" s="15">
        <v>1</v>
      </c>
      <c r="D29" s="16"/>
      <c r="E29" s="15"/>
      <c r="F29" s="15"/>
      <c r="G29" s="4" t="s">
        <v>3</v>
      </c>
      <c r="H29" s="5" t="s">
        <v>79</v>
      </c>
    </row>
    <row r="30" spans="1:8" ht="15" x14ac:dyDescent="0.25">
      <c r="A30" s="6">
        <f t="shared" si="0"/>
        <v>13</v>
      </c>
      <c r="B30" s="15">
        <v>6</v>
      </c>
      <c r="C30" s="15"/>
      <c r="D30" s="16"/>
      <c r="E30" s="15"/>
      <c r="F30" s="15"/>
      <c r="G30" s="4" t="s">
        <v>22</v>
      </c>
      <c r="H30" s="4"/>
    </row>
    <row r="31" spans="1:8" ht="15" x14ac:dyDescent="0.25">
      <c r="A31" s="6">
        <f t="shared" si="0"/>
        <v>14</v>
      </c>
      <c r="B31" s="15"/>
      <c r="C31" s="15">
        <v>2</v>
      </c>
      <c r="D31" s="16"/>
      <c r="E31" s="15"/>
      <c r="F31" s="15"/>
      <c r="G31" s="4" t="s">
        <v>3</v>
      </c>
      <c r="H31" s="4" t="s">
        <v>80</v>
      </c>
    </row>
    <row r="32" spans="1:8" ht="15" x14ac:dyDescent="0.25">
      <c r="A32" s="3">
        <v>13</v>
      </c>
      <c r="B32" s="15"/>
      <c r="C32" s="15"/>
      <c r="D32" s="16">
        <v>6</v>
      </c>
      <c r="E32" s="15"/>
      <c r="F32" s="15"/>
      <c r="G32" s="4" t="s">
        <v>64</v>
      </c>
      <c r="H32" s="4"/>
    </row>
    <row r="33" spans="1:1" x14ac:dyDescent="0.25">
      <c r="A33" s="2"/>
    </row>
  </sheetData>
  <mergeCells count="7">
    <mergeCell ref="A13:F16"/>
    <mergeCell ref="A6:H6"/>
    <mergeCell ref="A8:F8"/>
    <mergeCell ref="G7:H8"/>
    <mergeCell ref="A9:F10"/>
    <mergeCell ref="A11:F12"/>
    <mergeCell ref="A7:F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DA51-F03C-4DDA-999F-1446F8EB16A7}">
  <dimension ref="A1:H28"/>
  <sheetViews>
    <sheetView showWhiteSpace="0" view="pageLayout" zoomScaleNormal="101" workbookViewId="0">
      <selection activeCell="H4" sqref="H4"/>
    </sheetView>
  </sheetViews>
  <sheetFormatPr defaultRowHeight="14.4" x14ac:dyDescent="0.3"/>
  <cols>
    <col min="1" max="1" width="5.44140625" bestFit="1" customWidth="1"/>
    <col min="2" max="2" width="6.33203125" customWidth="1"/>
    <col min="3" max="3" width="6.21875" customWidth="1"/>
    <col min="4" max="4" width="6.5546875" customWidth="1"/>
    <col min="5" max="5" width="6.88671875" customWidth="1"/>
    <col min="6" max="6" width="7.77734375" customWidth="1"/>
    <col min="7" max="7" width="32.77734375" customWidth="1"/>
    <col min="8" max="8" width="15.44140625" customWidth="1"/>
  </cols>
  <sheetData>
    <row r="1" spans="1:8" ht="15.6" x14ac:dyDescent="0.3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6" x14ac:dyDescent="0.3">
      <c r="A2" s="37" t="s">
        <v>66</v>
      </c>
      <c r="B2" s="38"/>
      <c r="C2" s="38"/>
      <c r="D2" s="38"/>
      <c r="E2" s="38"/>
      <c r="F2" s="39"/>
      <c r="G2" s="36" t="s">
        <v>2</v>
      </c>
      <c r="H2" s="36"/>
    </row>
    <row r="3" spans="1:8" ht="15.6" x14ac:dyDescent="0.3">
      <c r="A3" s="34" t="s">
        <v>82</v>
      </c>
      <c r="B3" s="34"/>
      <c r="C3" s="34"/>
      <c r="D3" s="34"/>
      <c r="E3" s="34"/>
      <c r="F3" s="34"/>
      <c r="G3" s="36"/>
      <c r="H3" s="36"/>
    </row>
    <row r="4" spans="1:8" ht="15.6" x14ac:dyDescent="0.3">
      <c r="A4" s="35" t="s">
        <v>57</v>
      </c>
      <c r="B4" s="35"/>
      <c r="C4" s="35"/>
      <c r="D4" s="35"/>
      <c r="E4" s="35"/>
      <c r="F4" s="35"/>
      <c r="G4" s="4"/>
      <c r="H4" s="5" t="s">
        <v>96</v>
      </c>
    </row>
    <row r="5" spans="1:8" ht="15.6" x14ac:dyDescent="0.3">
      <c r="A5" s="35"/>
      <c r="B5" s="35"/>
      <c r="C5" s="35"/>
      <c r="D5" s="35"/>
      <c r="E5" s="35"/>
      <c r="F5" s="35"/>
      <c r="G5" s="4" t="s">
        <v>3</v>
      </c>
      <c r="H5" s="3">
        <v>1</v>
      </c>
    </row>
    <row r="6" spans="1:8" ht="15.6" x14ac:dyDescent="0.3">
      <c r="A6" s="28" t="s">
        <v>1</v>
      </c>
      <c r="B6" s="28"/>
      <c r="C6" s="28"/>
      <c r="D6" s="28"/>
      <c r="E6" s="28"/>
      <c r="F6" s="28"/>
      <c r="G6" s="4" t="s">
        <v>4</v>
      </c>
      <c r="H6" s="3">
        <v>6</v>
      </c>
    </row>
    <row r="7" spans="1:8" ht="15.6" x14ac:dyDescent="0.3">
      <c r="A7" s="28"/>
      <c r="B7" s="28"/>
      <c r="C7" s="28"/>
      <c r="D7" s="28"/>
      <c r="E7" s="28"/>
      <c r="F7" s="28"/>
      <c r="G7" s="4" t="s">
        <v>5</v>
      </c>
      <c r="H7" s="3">
        <v>6</v>
      </c>
    </row>
    <row r="8" spans="1:8" ht="15.6" x14ac:dyDescent="0.3">
      <c r="A8" s="28" t="s">
        <v>10</v>
      </c>
      <c r="B8" s="28"/>
      <c r="C8" s="28"/>
      <c r="D8" s="28"/>
      <c r="E8" s="28"/>
      <c r="F8" s="28"/>
      <c r="G8" s="4" t="s">
        <v>6</v>
      </c>
      <c r="H8" s="3">
        <v>1</v>
      </c>
    </row>
    <row r="9" spans="1:8" ht="15.6" x14ac:dyDescent="0.3">
      <c r="A9" s="28"/>
      <c r="B9" s="28"/>
      <c r="C9" s="28"/>
      <c r="D9" s="28"/>
      <c r="E9" s="28"/>
      <c r="F9" s="28"/>
      <c r="G9" s="4" t="s">
        <v>7</v>
      </c>
      <c r="H9" s="3">
        <v>0</v>
      </c>
    </row>
    <row r="10" spans="1:8" ht="15.6" x14ac:dyDescent="0.3">
      <c r="A10" s="28"/>
      <c r="B10" s="28"/>
      <c r="C10" s="28"/>
      <c r="D10" s="28"/>
      <c r="E10" s="28"/>
      <c r="F10" s="28"/>
      <c r="G10" s="4" t="s">
        <v>8</v>
      </c>
      <c r="H10" s="3">
        <v>13</v>
      </c>
    </row>
    <row r="11" spans="1:8" ht="15.6" x14ac:dyDescent="0.3">
      <c r="A11" s="28"/>
      <c r="B11" s="28"/>
      <c r="C11" s="28"/>
      <c r="D11" s="28"/>
      <c r="E11" s="28"/>
      <c r="F11" s="28"/>
      <c r="G11" s="4" t="s">
        <v>9</v>
      </c>
      <c r="H11" s="4"/>
    </row>
    <row r="12" spans="1:8" ht="15.6" x14ac:dyDescent="0.3">
      <c r="A12" s="17" t="s">
        <v>0</v>
      </c>
      <c r="B12" s="18"/>
      <c r="C12" s="18"/>
      <c r="D12" s="18"/>
      <c r="E12" s="18"/>
      <c r="F12" s="18"/>
      <c r="G12" s="19" t="s">
        <v>11</v>
      </c>
      <c r="H12" s="19" t="s">
        <v>12</v>
      </c>
    </row>
    <row r="13" spans="1:8" ht="15.6" x14ac:dyDescent="0.3">
      <c r="A13" s="7">
        <v>1</v>
      </c>
      <c r="B13" s="20"/>
      <c r="C13" s="20"/>
      <c r="D13" s="22"/>
      <c r="E13" s="20"/>
      <c r="F13" s="20">
        <v>1</v>
      </c>
      <c r="G13" s="4" t="s">
        <v>14</v>
      </c>
      <c r="H13" s="8"/>
    </row>
    <row r="14" spans="1:8" ht="15.6" x14ac:dyDescent="0.3">
      <c r="A14" s="7">
        <f>A13+1</f>
        <v>2</v>
      </c>
      <c r="B14" s="20"/>
      <c r="C14" s="20"/>
      <c r="D14" s="22">
        <v>1</v>
      </c>
      <c r="E14" s="20"/>
      <c r="F14" s="20"/>
      <c r="G14" s="4" t="s">
        <v>86</v>
      </c>
      <c r="H14" s="8"/>
    </row>
    <row r="15" spans="1:8" ht="15.6" x14ac:dyDescent="0.3">
      <c r="A15" s="7">
        <f t="shared" ref="A15:A28" si="0">A14+1</f>
        <v>3</v>
      </c>
      <c r="B15" s="20">
        <v>1</v>
      </c>
      <c r="C15" s="20"/>
      <c r="D15" s="22"/>
      <c r="E15" s="20"/>
      <c r="F15" s="20"/>
      <c r="G15" s="4" t="s">
        <v>24</v>
      </c>
      <c r="H15" s="8"/>
    </row>
    <row r="16" spans="1:8" ht="15.6" x14ac:dyDescent="0.3">
      <c r="A16" s="7">
        <v>4</v>
      </c>
      <c r="B16" s="20"/>
      <c r="C16" s="20"/>
      <c r="D16" s="22">
        <v>2</v>
      </c>
      <c r="E16" s="20"/>
      <c r="F16" s="20"/>
      <c r="G16" s="4" t="s">
        <v>16</v>
      </c>
      <c r="H16" s="8"/>
    </row>
    <row r="17" spans="1:8" ht="15.6" x14ac:dyDescent="0.3">
      <c r="A17" s="7">
        <v>5</v>
      </c>
      <c r="B17" s="20">
        <v>2</v>
      </c>
      <c r="C17" s="20"/>
      <c r="D17" s="22"/>
      <c r="E17" s="20"/>
      <c r="F17" s="20"/>
      <c r="G17" s="4" t="s">
        <v>25</v>
      </c>
      <c r="H17" s="8"/>
    </row>
    <row r="18" spans="1:8" ht="15.6" x14ac:dyDescent="0.3">
      <c r="A18" s="7">
        <v>6</v>
      </c>
      <c r="B18" s="20"/>
      <c r="C18" s="20"/>
      <c r="D18" s="22">
        <v>3</v>
      </c>
      <c r="E18" s="20"/>
      <c r="F18" s="20"/>
      <c r="G18" s="4" t="s">
        <v>44</v>
      </c>
      <c r="H18" s="8"/>
    </row>
    <row r="19" spans="1:8" ht="15.6" x14ac:dyDescent="0.3">
      <c r="A19" s="7">
        <v>7</v>
      </c>
      <c r="B19" s="20">
        <v>3</v>
      </c>
      <c r="C19" s="20"/>
      <c r="D19" s="22"/>
      <c r="E19" s="20"/>
      <c r="F19" s="20"/>
      <c r="G19" s="4" t="s">
        <v>17</v>
      </c>
      <c r="H19" s="8"/>
    </row>
    <row r="20" spans="1:8" ht="15.6" x14ac:dyDescent="0.3">
      <c r="A20" s="7">
        <f t="shared" si="0"/>
        <v>8</v>
      </c>
      <c r="B20" s="20"/>
      <c r="C20" s="20"/>
      <c r="D20" s="22">
        <v>4</v>
      </c>
      <c r="E20" s="20"/>
      <c r="F20" s="20"/>
      <c r="G20" s="4" t="s">
        <v>26</v>
      </c>
      <c r="H20" s="8"/>
    </row>
    <row r="21" spans="1:8" ht="15.6" x14ac:dyDescent="0.3">
      <c r="A21" s="7">
        <f t="shared" si="0"/>
        <v>9</v>
      </c>
      <c r="B21" s="20">
        <v>4</v>
      </c>
      <c r="C21" s="20"/>
      <c r="D21" s="22"/>
      <c r="E21" s="20"/>
      <c r="F21" s="20"/>
      <c r="G21" s="4" t="s">
        <v>27</v>
      </c>
      <c r="H21" s="8"/>
    </row>
    <row r="22" spans="1:8" ht="15.6" x14ac:dyDescent="0.3">
      <c r="A22" s="7">
        <f t="shared" si="0"/>
        <v>10</v>
      </c>
      <c r="B22" s="20"/>
      <c r="C22" s="20"/>
      <c r="D22" s="22">
        <v>5</v>
      </c>
      <c r="E22" s="20"/>
      <c r="F22" s="20"/>
      <c r="G22" s="4" t="s">
        <v>28</v>
      </c>
      <c r="H22" s="8"/>
    </row>
    <row r="23" spans="1:8" ht="15.6" x14ac:dyDescent="0.3">
      <c r="A23" s="7">
        <f t="shared" si="0"/>
        <v>11</v>
      </c>
      <c r="B23" s="20">
        <v>5</v>
      </c>
      <c r="C23" s="20"/>
      <c r="D23" s="22"/>
      <c r="E23" s="20"/>
      <c r="F23" s="20"/>
      <c r="G23" s="4" t="s">
        <v>29</v>
      </c>
      <c r="H23" s="8"/>
    </row>
    <row r="24" spans="1:8" ht="15.6" x14ac:dyDescent="0.3">
      <c r="A24" s="7">
        <f t="shared" si="0"/>
        <v>12</v>
      </c>
      <c r="B24" s="20"/>
      <c r="C24" s="20"/>
      <c r="D24" s="22">
        <v>6</v>
      </c>
      <c r="E24" s="20"/>
      <c r="F24" s="20"/>
      <c r="G24" s="4" t="s">
        <v>30</v>
      </c>
      <c r="H24" s="8"/>
    </row>
    <row r="25" spans="1:8" ht="15.6" x14ac:dyDescent="0.3">
      <c r="A25" s="7">
        <f t="shared" si="0"/>
        <v>13</v>
      </c>
      <c r="B25" s="20">
        <v>6</v>
      </c>
      <c r="C25" s="20"/>
      <c r="D25" s="22"/>
      <c r="E25" s="20"/>
      <c r="F25" s="20"/>
      <c r="G25" s="4" t="s">
        <v>31</v>
      </c>
      <c r="H25" s="8"/>
    </row>
    <row r="26" spans="1:8" ht="15.6" x14ac:dyDescent="0.3">
      <c r="A26" s="7">
        <f t="shared" si="0"/>
        <v>14</v>
      </c>
      <c r="B26" s="20"/>
      <c r="C26" s="20"/>
      <c r="D26" s="22">
        <v>7</v>
      </c>
      <c r="E26" s="20"/>
      <c r="F26" s="20"/>
      <c r="G26" s="4" t="s">
        <v>32</v>
      </c>
      <c r="H26" s="8"/>
    </row>
    <row r="27" spans="1:8" ht="62.4" x14ac:dyDescent="0.3">
      <c r="A27" s="7">
        <f t="shared" si="0"/>
        <v>15</v>
      </c>
      <c r="B27" s="20"/>
      <c r="C27" s="20">
        <v>1</v>
      </c>
      <c r="D27" s="22"/>
      <c r="E27" s="20"/>
      <c r="F27" s="20"/>
      <c r="G27" s="4" t="s">
        <v>3</v>
      </c>
      <c r="H27" s="9" t="s">
        <v>81</v>
      </c>
    </row>
    <row r="28" spans="1:8" ht="15.6" x14ac:dyDescent="0.3">
      <c r="A28" s="7">
        <f t="shared" si="0"/>
        <v>16</v>
      </c>
      <c r="B28" s="20"/>
      <c r="C28" s="20"/>
      <c r="D28" s="22">
        <v>8</v>
      </c>
      <c r="E28" s="20"/>
      <c r="F28" s="20"/>
      <c r="G28" s="4" t="s">
        <v>64</v>
      </c>
      <c r="H28" s="8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5C5A-CE8E-46AA-84D2-EEFBA22B280F}">
  <dimension ref="A1:H29"/>
  <sheetViews>
    <sheetView view="pageLayout" zoomScaleNormal="130" workbookViewId="0">
      <selection activeCell="H5" sqref="H5"/>
    </sheetView>
  </sheetViews>
  <sheetFormatPr defaultRowHeight="14.4" x14ac:dyDescent="0.3"/>
  <cols>
    <col min="1" max="1" width="5.44140625" bestFit="1" customWidth="1"/>
    <col min="2" max="2" width="7" customWidth="1"/>
    <col min="3" max="3" width="6" customWidth="1"/>
    <col min="4" max="4" width="6.77734375" customWidth="1"/>
    <col min="5" max="5" width="6.21875" customWidth="1"/>
    <col min="7" max="7" width="35.109375" customWidth="1"/>
    <col min="8" max="8" width="11.77734375" customWidth="1"/>
  </cols>
  <sheetData>
    <row r="1" spans="1:8" ht="15.6" x14ac:dyDescent="0.3">
      <c r="A1" s="29" t="s">
        <v>13</v>
      </c>
      <c r="B1" s="40"/>
      <c r="C1" s="40"/>
      <c r="D1" s="40"/>
      <c r="E1" s="40"/>
      <c r="F1" s="40"/>
      <c r="G1" s="40"/>
      <c r="H1" s="40"/>
    </row>
    <row r="2" spans="1:8" ht="15.6" x14ac:dyDescent="0.3">
      <c r="A2" s="37" t="s">
        <v>66</v>
      </c>
      <c r="B2" s="38"/>
      <c r="C2" s="38"/>
      <c r="D2" s="38"/>
      <c r="E2" s="38"/>
      <c r="F2" s="39"/>
      <c r="G2" s="36" t="s">
        <v>2</v>
      </c>
      <c r="H2" s="36"/>
    </row>
    <row r="3" spans="1:8" ht="15.6" x14ac:dyDescent="0.3">
      <c r="A3" s="34" t="s">
        <v>85</v>
      </c>
      <c r="B3" s="34"/>
      <c r="C3" s="34"/>
      <c r="D3" s="34"/>
      <c r="E3" s="34"/>
      <c r="F3" s="34"/>
      <c r="G3" s="36"/>
      <c r="H3" s="36"/>
    </row>
    <row r="4" spans="1:8" ht="15.6" x14ac:dyDescent="0.3">
      <c r="A4" s="35" t="s">
        <v>58</v>
      </c>
      <c r="B4" s="35"/>
      <c r="C4" s="35"/>
      <c r="D4" s="35"/>
      <c r="E4" s="35"/>
      <c r="F4" s="35"/>
      <c r="G4" s="4"/>
      <c r="H4" s="5" t="s">
        <v>97</v>
      </c>
    </row>
    <row r="5" spans="1:8" ht="15.6" x14ac:dyDescent="0.3">
      <c r="A5" s="35"/>
      <c r="B5" s="35"/>
      <c r="C5" s="35"/>
      <c r="D5" s="35"/>
      <c r="E5" s="35"/>
      <c r="F5" s="35"/>
      <c r="G5" s="4" t="s">
        <v>3</v>
      </c>
      <c r="H5" s="3">
        <v>1</v>
      </c>
    </row>
    <row r="6" spans="1:8" ht="15.6" x14ac:dyDescent="0.3">
      <c r="A6" s="28" t="s">
        <v>1</v>
      </c>
      <c r="B6" s="28"/>
      <c r="C6" s="28"/>
      <c r="D6" s="28"/>
      <c r="E6" s="28"/>
      <c r="F6" s="28"/>
      <c r="G6" s="4" t="s">
        <v>4</v>
      </c>
      <c r="H6" s="3">
        <v>7</v>
      </c>
    </row>
    <row r="7" spans="1:8" ht="15.6" x14ac:dyDescent="0.3">
      <c r="A7" s="28"/>
      <c r="B7" s="28"/>
      <c r="C7" s="28"/>
      <c r="D7" s="28"/>
      <c r="E7" s="28"/>
      <c r="F7" s="28"/>
      <c r="G7" s="4" t="s">
        <v>5</v>
      </c>
      <c r="H7" s="3">
        <v>7</v>
      </c>
    </row>
    <row r="8" spans="1:8" ht="15.6" x14ac:dyDescent="0.3">
      <c r="A8" s="28" t="s">
        <v>10</v>
      </c>
      <c r="B8" s="28"/>
      <c r="C8" s="28"/>
      <c r="D8" s="28"/>
      <c r="E8" s="28"/>
      <c r="F8" s="28"/>
      <c r="G8" s="4" t="s">
        <v>6</v>
      </c>
      <c r="H8" s="3">
        <v>1</v>
      </c>
    </row>
    <row r="9" spans="1:8" ht="15.6" x14ac:dyDescent="0.3">
      <c r="A9" s="28"/>
      <c r="B9" s="28"/>
      <c r="C9" s="28"/>
      <c r="D9" s="28"/>
      <c r="E9" s="28"/>
      <c r="F9" s="28"/>
      <c r="G9" s="4" t="s">
        <v>7</v>
      </c>
      <c r="H9" s="3">
        <v>0</v>
      </c>
    </row>
    <row r="10" spans="1:8" ht="15.6" x14ac:dyDescent="0.3">
      <c r="A10" s="28"/>
      <c r="B10" s="28"/>
      <c r="C10" s="28"/>
      <c r="D10" s="28"/>
      <c r="E10" s="28"/>
      <c r="F10" s="28"/>
      <c r="G10" s="4" t="s">
        <v>8</v>
      </c>
      <c r="H10" s="3">
        <v>15</v>
      </c>
    </row>
    <row r="11" spans="1:8" ht="15.6" x14ac:dyDescent="0.3">
      <c r="A11" s="28"/>
      <c r="B11" s="28"/>
      <c r="C11" s="28"/>
      <c r="D11" s="28"/>
      <c r="E11" s="28"/>
      <c r="F11" s="28"/>
      <c r="G11" s="4" t="s">
        <v>9</v>
      </c>
      <c r="H11" s="4"/>
    </row>
    <row r="12" spans="1:8" ht="15.6" x14ac:dyDescent="0.3">
      <c r="A12" s="17" t="s">
        <v>0</v>
      </c>
      <c r="B12" s="18"/>
      <c r="C12" s="18"/>
      <c r="D12" s="18"/>
      <c r="E12" s="18"/>
      <c r="F12" s="18"/>
      <c r="G12" s="19" t="s">
        <v>11</v>
      </c>
      <c r="H12" s="19" t="s">
        <v>12</v>
      </c>
    </row>
    <row r="13" spans="1:8" ht="15.6" x14ac:dyDescent="0.3">
      <c r="A13" s="10">
        <v>1</v>
      </c>
      <c r="B13" s="20"/>
      <c r="C13" s="20"/>
      <c r="D13" s="22"/>
      <c r="E13" s="20"/>
      <c r="F13" s="20">
        <v>1</v>
      </c>
      <c r="G13" s="4" t="s">
        <v>14</v>
      </c>
      <c r="H13" s="8"/>
    </row>
    <row r="14" spans="1:8" ht="15.6" x14ac:dyDescent="0.3">
      <c r="A14" s="10">
        <f>A13+1</f>
        <v>2</v>
      </c>
      <c r="B14" s="20"/>
      <c r="C14" s="20"/>
      <c r="D14" s="22">
        <v>1</v>
      </c>
      <c r="E14" s="20"/>
      <c r="F14" s="20"/>
      <c r="G14" s="4" t="s">
        <v>86</v>
      </c>
      <c r="H14" s="8"/>
    </row>
    <row r="15" spans="1:8" ht="15.6" x14ac:dyDescent="0.3">
      <c r="A15" s="10">
        <f t="shared" ref="A15:A29" si="0">A14+1</f>
        <v>3</v>
      </c>
      <c r="B15" s="20">
        <v>1</v>
      </c>
      <c r="C15" s="20"/>
      <c r="D15" s="22"/>
      <c r="E15" s="20"/>
      <c r="F15" s="20"/>
      <c r="G15" s="4" t="s">
        <v>15</v>
      </c>
      <c r="H15" s="8"/>
    </row>
    <row r="16" spans="1:8" ht="15.6" x14ac:dyDescent="0.3">
      <c r="A16" s="10">
        <f t="shared" si="0"/>
        <v>4</v>
      </c>
      <c r="B16" s="20"/>
      <c r="C16" s="20"/>
      <c r="D16" s="22">
        <v>2</v>
      </c>
      <c r="E16" s="20"/>
      <c r="F16" s="20"/>
      <c r="G16" s="4" t="s">
        <v>16</v>
      </c>
      <c r="H16" s="8"/>
    </row>
    <row r="17" spans="1:8" ht="15.6" x14ac:dyDescent="0.3">
      <c r="A17" s="10">
        <f t="shared" si="0"/>
        <v>5</v>
      </c>
      <c r="B17" s="20">
        <v>2</v>
      </c>
      <c r="C17" s="20"/>
      <c r="D17" s="22"/>
      <c r="E17" s="20"/>
      <c r="F17" s="20"/>
      <c r="G17" s="4" t="s">
        <v>33</v>
      </c>
      <c r="H17" s="8"/>
    </row>
    <row r="18" spans="1:8" ht="15.6" x14ac:dyDescent="0.3">
      <c r="A18" s="10">
        <f t="shared" si="0"/>
        <v>6</v>
      </c>
      <c r="B18" s="20">
        <v>3</v>
      </c>
      <c r="C18" s="20"/>
      <c r="D18" s="22"/>
      <c r="E18" s="20"/>
      <c r="F18" s="20"/>
      <c r="G18" s="4" t="s">
        <v>34</v>
      </c>
      <c r="H18" s="8"/>
    </row>
    <row r="19" spans="1:8" ht="15.6" x14ac:dyDescent="0.3">
      <c r="A19" s="10">
        <f t="shared" si="0"/>
        <v>7</v>
      </c>
      <c r="B19" s="20"/>
      <c r="C19" s="20"/>
      <c r="D19" s="22">
        <v>3</v>
      </c>
      <c r="E19" s="20"/>
      <c r="F19" s="20"/>
      <c r="G19" s="4" t="s">
        <v>28</v>
      </c>
      <c r="H19" s="8"/>
    </row>
    <row r="20" spans="1:8" ht="15.6" x14ac:dyDescent="0.3">
      <c r="A20" s="10">
        <f t="shared" si="0"/>
        <v>8</v>
      </c>
      <c r="B20" s="20">
        <v>4</v>
      </c>
      <c r="C20" s="20"/>
      <c r="D20" s="22"/>
      <c r="E20" s="20"/>
      <c r="F20" s="20"/>
      <c r="G20" s="4" t="s">
        <v>29</v>
      </c>
      <c r="H20" s="8"/>
    </row>
    <row r="21" spans="1:8" ht="15.6" x14ac:dyDescent="0.3">
      <c r="A21" s="10">
        <f t="shared" si="0"/>
        <v>9</v>
      </c>
      <c r="B21" s="20"/>
      <c r="C21" s="20"/>
      <c r="D21" s="22">
        <v>4</v>
      </c>
      <c r="E21" s="20"/>
      <c r="F21" s="20"/>
      <c r="G21" s="4" t="s">
        <v>35</v>
      </c>
      <c r="H21" s="8"/>
    </row>
    <row r="22" spans="1:8" ht="15.6" x14ac:dyDescent="0.3">
      <c r="A22" s="10">
        <f t="shared" si="0"/>
        <v>10</v>
      </c>
      <c r="B22" s="20">
        <v>5</v>
      </c>
      <c r="C22" s="20"/>
      <c r="D22" s="22"/>
      <c r="E22" s="20"/>
      <c r="F22" s="20"/>
      <c r="G22" s="4" t="s">
        <v>36</v>
      </c>
      <c r="H22" s="8"/>
    </row>
    <row r="23" spans="1:8" ht="15.6" x14ac:dyDescent="0.3">
      <c r="A23" s="10">
        <f t="shared" si="0"/>
        <v>11</v>
      </c>
      <c r="B23" s="20"/>
      <c r="C23" s="20"/>
      <c r="D23" s="22">
        <v>5</v>
      </c>
      <c r="E23" s="20"/>
      <c r="F23" s="20"/>
      <c r="G23" s="4" t="s">
        <v>37</v>
      </c>
      <c r="H23" s="8"/>
    </row>
    <row r="24" spans="1:8" ht="15.6" x14ac:dyDescent="0.3">
      <c r="A24" s="10">
        <f t="shared" si="0"/>
        <v>12</v>
      </c>
      <c r="B24" s="20">
        <v>6</v>
      </c>
      <c r="C24" s="20"/>
      <c r="D24" s="22"/>
      <c r="E24" s="20"/>
      <c r="F24" s="20"/>
      <c r="G24" s="4" t="s">
        <v>38</v>
      </c>
      <c r="H24" s="8"/>
    </row>
    <row r="25" spans="1:8" ht="15.6" x14ac:dyDescent="0.3">
      <c r="A25" s="10">
        <f t="shared" si="0"/>
        <v>13</v>
      </c>
      <c r="B25" s="20"/>
      <c r="C25" s="20"/>
      <c r="D25" s="22">
        <v>6</v>
      </c>
      <c r="E25" s="20"/>
      <c r="F25" s="20"/>
      <c r="G25" s="4" t="s">
        <v>44</v>
      </c>
      <c r="H25" s="8"/>
    </row>
    <row r="26" spans="1:8" ht="15.6" x14ac:dyDescent="0.3">
      <c r="A26" s="10">
        <f t="shared" si="0"/>
        <v>14</v>
      </c>
      <c r="B26" s="20">
        <v>7</v>
      </c>
      <c r="C26" s="20"/>
      <c r="D26" s="22"/>
      <c r="E26" s="20"/>
      <c r="F26" s="20"/>
      <c r="G26" s="4" t="s">
        <v>17</v>
      </c>
      <c r="H26" s="8"/>
    </row>
    <row r="27" spans="1:8" ht="15.6" x14ac:dyDescent="0.3">
      <c r="A27" s="10">
        <f t="shared" si="0"/>
        <v>15</v>
      </c>
      <c r="B27" s="20"/>
      <c r="C27" s="20"/>
      <c r="D27" s="22">
        <v>7</v>
      </c>
      <c r="E27" s="20"/>
      <c r="F27" s="20"/>
      <c r="G27" s="4" t="s">
        <v>32</v>
      </c>
      <c r="H27" s="8"/>
    </row>
    <row r="28" spans="1:8" ht="15.6" x14ac:dyDescent="0.3">
      <c r="A28" s="10">
        <f t="shared" si="0"/>
        <v>16</v>
      </c>
      <c r="B28" s="20"/>
      <c r="C28" s="20">
        <v>1</v>
      </c>
      <c r="D28" s="22"/>
      <c r="E28" s="20"/>
      <c r="F28" s="20"/>
      <c r="G28" s="4" t="s">
        <v>3</v>
      </c>
      <c r="H28" s="8"/>
    </row>
    <row r="29" spans="1:8" ht="15.6" x14ac:dyDescent="0.3">
      <c r="A29" s="10">
        <f t="shared" si="0"/>
        <v>17</v>
      </c>
      <c r="B29" s="20"/>
      <c r="C29" s="20"/>
      <c r="D29" s="22">
        <v>8</v>
      </c>
      <c r="E29" s="20"/>
      <c r="F29" s="20"/>
      <c r="G29" s="4" t="s">
        <v>64</v>
      </c>
      <c r="H29" s="8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2EEF-3ADF-4127-955E-AC97DF83F7FA}">
  <dimension ref="A1:H28"/>
  <sheetViews>
    <sheetView view="pageLayout" zoomScaleNormal="100" workbookViewId="0">
      <selection activeCell="G14" sqref="G14:G15"/>
    </sheetView>
  </sheetViews>
  <sheetFormatPr defaultRowHeight="14.4" x14ac:dyDescent="0.3"/>
  <cols>
    <col min="1" max="1" width="5.44140625" bestFit="1" customWidth="1"/>
    <col min="2" max="2" width="7.5546875" customWidth="1"/>
    <col min="3" max="3" width="6.33203125" customWidth="1"/>
    <col min="4" max="4" width="7.5546875" customWidth="1"/>
    <col min="5" max="5" width="6.77734375" customWidth="1"/>
    <col min="6" max="6" width="6.33203125" customWidth="1"/>
    <col min="7" max="7" width="34" customWidth="1"/>
    <col min="8" max="8" width="12" customWidth="1"/>
  </cols>
  <sheetData>
    <row r="1" spans="1:8" ht="15.6" x14ac:dyDescent="0.3">
      <c r="A1" s="29" t="s">
        <v>13</v>
      </c>
      <c r="B1" s="40"/>
      <c r="C1" s="40"/>
      <c r="D1" s="40"/>
      <c r="E1" s="40"/>
      <c r="F1" s="40"/>
      <c r="G1" s="40"/>
      <c r="H1" s="40"/>
    </row>
    <row r="2" spans="1:8" ht="15.6" x14ac:dyDescent="0.3">
      <c r="A2" s="37" t="s">
        <v>66</v>
      </c>
      <c r="B2" s="38"/>
      <c r="C2" s="38"/>
      <c r="D2" s="38"/>
      <c r="E2" s="38"/>
      <c r="F2" s="39"/>
      <c r="G2" s="36" t="s">
        <v>2</v>
      </c>
      <c r="H2" s="36"/>
    </row>
    <row r="3" spans="1:8" ht="15.6" x14ac:dyDescent="0.3">
      <c r="A3" s="34" t="s">
        <v>87</v>
      </c>
      <c r="B3" s="34"/>
      <c r="C3" s="34"/>
      <c r="D3" s="34"/>
      <c r="E3" s="34"/>
      <c r="F3" s="34"/>
      <c r="G3" s="36"/>
      <c r="H3" s="36"/>
    </row>
    <row r="4" spans="1:8" ht="15.6" x14ac:dyDescent="0.3">
      <c r="A4" s="35" t="s">
        <v>59</v>
      </c>
      <c r="B4" s="35"/>
      <c r="C4" s="35"/>
      <c r="D4" s="35"/>
      <c r="E4" s="35"/>
      <c r="F4" s="35"/>
      <c r="G4" s="4"/>
      <c r="H4" s="5" t="s">
        <v>98</v>
      </c>
    </row>
    <row r="5" spans="1:8" ht="15.6" x14ac:dyDescent="0.3">
      <c r="A5" s="35"/>
      <c r="B5" s="35"/>
      <c r="C5" s="35"/>
      <c r="D5" s="35"/>
      <c r="E5" s="35"/>
      <c r="F5" s="35"/>
      <c r="G5" s="4" t="s">
        <v>3</v>
      </c>
      <c r="H5" s="3">
        <v>1</v>
      </c>
    </row>
    <row r="6" spans="1:8" ht="15.6" x14ac:dyDescent="0.3">
      <c r="A6" s="28" t="s">
        <v>1</v>
      </c>
      <c r="B6" s="28"/>
      <c r="C6" s="28"/>
      <c r="D6" s="28"/>
      <c r="E6" s="28"/>
      <c r="F6" s="28"/>
      <c r="G6" s="4" t="s">
        <v>4</v>
      </c>
      <c r="H6" s="3">
        <v>6</v>
      </c>
    </row>
    <row r="7" spans="1:8" ht="15.6" x14ac:dyDescent="0.3">
      <c r="A7" s="28"/>
      <c r="B7" s="28"/>
      <c r="C7" s="28"/>
      <c r="D7" s="28"/>
      <c r="E7" s="28"/>
      <c r="F7" s="28"/>
      <c r="G7" s="4" t="s">
        <v>5</v>
      </c>
      <c r="H7" s="3">
        <v>7</v>
      </c>
    </row>
    <row r="8" spans="1:8" ht="15.6" x14ac:dyDescent="0.3">
      <c r="A8" s="28" t="s">
        <v>10</v>
      </c>
      <c r="B8" s="28"/>
      <c r="C8" s="28"/>
      <c r="D8" s="28"/>
      <c r="E8" s="28"/>
      <c r="F8" s="28"/>
      <c r="G8" s="4" t="s">
        <v>6</v>
      </c>
      <c r="H8" s="3">
        <v>1</v>
      </c>
    </row>
    <row r="9" spans="1:8" ht="15.6" x14ac:dyDescent="0.3">
      <c r="A9" s="28"/>
      <c r="B9" s="28"/>
      <c r="C9" s="28"/>
      <c r="D9" s="28"/>
      <c r="E9" s="28"/>
      <c r="F9" s="28"/>
      <c r="G9" s="4" t="s">
        <v>7</v>
      </c>
      <c r="H9" s="3">
        <v>0</v>
      </c>
    </row>
    <row r="10" spans="1:8" ht="15.6" x14ac:dyDescent="0.3">
      <c r="A10" s="28"/>
      <c r="B10" s="28"/>
      <c r="C10" s="28"/>
      <c r="D10" s="28"/>
      <c r="E10" s="28"/>
      <c r="F10" s="28"/>
      <c r="G10" s="4" t="s">
        <v>8</v>
      </c>
      <c r="H10" s="3">
        <v>14</v>
      </c>
    </row>
    <row r="11" spans="1:8" ht="15.6" x14ac:dyDescent="0.3">
      <c r="A11" s="28"/>
      <c r="B11" s="28"/>
      <c r="C11" s="28"/>
      <c r="D11" s="28"/>
      <c r="E11" s="28"/>
      <c r="F11" s="28"/>
      <c r="G11" s="4" t="s">
        <v>9</v>
      </c>
      <c r="H11" s="4"/>
    </row>
    <row r="12" spans="1:8" ht="15.6" x14ac:dyDescent="0.3">
      <c r="A12" s="17" t="s">
        <v>0</v>
      </c>
      <c r="B12" s="18"/>
      <c r="C12" s="18"/>
      <c r="D12" s="18"/>
      <c r="E12" s="18"/>
      <c r="F12" s="18"/>
      <c r="G12" s="19" t="s">
        <v>11</v>
      </c>
      <c r="H12" s="19" t="s">
        <v>12</v>
      </c>
    </row>
    <row r="13" spans="1:8" ht="15.6" x14ac:dyDescent="0.3">
      <c r="A13" s="10">
        <v>1</v>
      </c>
      <c r="B13" s="20"/>
      <c r="C13" s="20"/>
      <c r="D13" s="22"/>
      <c r="E13" s="20"/>
      <c r="F13" s="20">
        <v>1</v>
      </c>
      <c r="G13" s="4" t="s">
        <v>14</v>
      </c>
      <c r="H13" s="8"/>
    </row>
    <row r="14" spans="1:8" ht="15.6" x14ac:dyDescent="0.3">
      <c r="A14" s="10">
        <f>A13+1</f>
        <v>2</v>
      </c>
      <c r="B14" s="20"/>
      <c r="C14" s="20"/>
      <c r="D14" s="22">
        <v>1</v>
      </c>
      <c r="E14" s="20"/>
      <c r="F14" s="20"/>
      <c r="G14" s="4" t="s">
        <v>86</v>
      </c>
      <c r="H14" s="8"/>
    </row>
    <row r="15" spans="1:8" ht="15.6" x14ac:dyDescent="0.3">
      <c r="A15" s="10">
        <f t="shared" ref="A15:A27" si="0">A14+1</f>
        <v>3</v>
      </c>
      <c r="B15" s="20">
        <v>1</v>
      </c>
      <c r="C15" s="20"/>
      <c r="D15" s="22"/>
      <c r="E15" s="20"/>
      <c r="F15" s="20"/>
      <c r="G15" s="4" t="s">
        <v>15</v>
      </c>
      <c r="H15" s="8"/>
    </row>
    <row r="16" spans="1:8" ht="15.6" x14ac:dyDescent="0.3">
      <c r="A16" s="10">
        <f t="shared" si="0"/>
        <v>4</v>
      </c>
      <c r="B16" s="20"/>
      <c r="C16" s="20"/>
      <c r="D16" s="22">
        <v>2</v>
      </c>
      <c r="E16" s="20"/>
      <c r="F16" s="20"/>
      <c r="G16" s="4" t="s">
        <v>39</v>
      </c>
      <c r="H16" s="8"/>
    </row>
    <row r="17" spans="1:8" ht="15.6" x14ac:dyDescent="0.3">
      <c r="A17" s="10">
        <f t="shared" si="0"/>
        <v>5</v>
      </c>
      <c r="B17" s="20">
        <v>2</v>
      </c>
      <c r="C17" s="20"/>
      <c r="D17" s="22"/>
      <c r="E17" s="20"/>
      <c r="F17" s="20"/>
      <c r="G17" s="4" t="s">
        <v>40</v>
      </c>
      <c r="H17" s="8"/>
    </row>
    <row r="18" spans="1:8" ht="15.6" x14ac:dyDescent="0.3">
      <c r="A18" s="10">
        <f t="shared" si="0"/>
        <v>6</v>
      </c>
      <c r="B18" s="20"/>
      <c r="C18" s="20"/>
      <c r="D18" s="22">
        <v>3</v>
      </c>
      <c r="E18" s="20"/>
      <c r="F18" s="20"/>
      <c r="G18" s="4" t="s">
        <v>41</v>
      </c>
      <c r="H18" s="8"/>
    </row>
    <row r="19" spans="1:8" ht="15.6" x14ac:dyDescent="0.3">
      <c r="A19" s="10">
        <f t="shared" si="0"/>
        <v>7</v>
      </c>
      <c r="B19" s="20">
        <v>3</v>
      </c>
      <c r="C19" s="20"/>
      <c r="D19" s="22"/>
      <c r="E19" s="20"/>
      <c r="F19" s="20"/>
      <c r="G19" s="4" t="s">
        <v>42</v>
      </c>
      <c r="H19" s="8"/>
    </row>
    <row r="20" spans="1:8" ht="15.6" x14ac:dyDescent="0.3">
      <c r="A20" s="10">
        <f t="shared" si="0"/>
        <v>8</v>
      </c>
      <c r="B20" s="20">
        <v>4</v>
      </c>
      <c r="C20" s="20"/>
      <c r="D20" s="22"/>
      <c r="E20" s="20"/>
      <c r="F20" s="20"/>
      <c r="G20" s="4" t="s">
        <v>43</v>
      </c>
      <c r="H20" s="8"/>
    </row>
    <row r="21" spans="1:8" ht="15.6" x14ac:dyDescent="0.3">
      <c r="A21" s="10">
        <f t="shared" si="0"/>
        <v>9</v>
      </c>
      <c r="B21" s="20"/>
      <c r="C21" s="20"/>
      <c r="D21" s="22">
        <v>4</v>
      </c>
      <c r="E21" s="20"/>
      <c r="F21" s="20"/>
      <c r="G21" s="4" t="s">
        <v>44</v>
      </c>
      <c r="H21" s="8"/>
    </row>
    <row r="22" spans="1:8" ht="15.6" x14ac:dyDescent="0.3">
      <c r="A22" s="10">
        <f t="shared" si="0"/>
        <v>10</v>
      </c>
      <c r="B22" s="20">
        <v>5</v>
      </c>
      <c r="C22" s="20"/>
      <c r="D22" s="22"/>
      <c r="E22" s="20"/>
      <c r="F22" s="20"/>
      <c r="G22" s="4" t="s">
        <v>17</v>
      </c>
      <c r="H22" s="8"/>
    </row>
    <row r="23" spans="1:8" ht="15.6" x14ac:dyDescent="0.3">
      <c r="A23" s="10">
        <f t="shared" si="0"/>
        <v>11</v>
      </c>
      <c r="B23" s="20"/>
      <c r="C23" s="20"/>
      <c r="D23" s="22">
        <v>5</v>
      </c>
      <c r="E23" s="20"/>
      <c r="F23" s="20"/>
      <c r="G23" s="4" t="s">
        <v>45</v>
      </c>
      <c r="H23" s="8"/>
    </row>
    <row r="24" spans="1:8" ht="15.6" x14ac:dyDescent="0.3">
      <c r="A24" s="10">
        <f t="shared" si="0"/>
        <v>12</v>
      </c>
      <c r="B24" s="20">
        <v>6</v>
      </c>
      <c r="C24" s="20"/>
      <c r="D24" s="22"/>
      <c r="E24" s="20"/>
      <c r="F24" s="20"/>
      <c r="G24" s="4" t="s">
        <v>31</v>
      </c>
      <c r="H24" s="8"/>
    </row>
    <row r="25" spans="1:8" ht="15.6" x14ac:dyDescent="0.3">
      <c r="A25" s="10">
        <f t="shared" si="0"/>
        <v>13</v>
      </c>
      <c r="B25" s="20"/>
      <c r="C25" s="20"/>
      <c r="D25" s="22">
        <v>6</v>
      </c>
      <c r="E25" s="20"/>
      <c r="F25" s="20"/>
      <c r="G25" s="4" t="s">
        <v>32</v>
      </c>
      <c r="H25" s="8"/>
    </row>
    <row r="26" spans="1:8" ht="15.6" x14ac:dyDescent="0.3">
      <c r="A26" s="10">
        <f t="shared" si="0"/>
        <v>14</v>
      </c>
      <c r="B26" s="20"/>
      <c r="C26" s="20">
        <v>1</v>
      </c>
      <c r="D26" s="22"/>
      <c r="E26" s="20"/>
      <c r="F26" s="20"/>
      <c r="G26" s="4" t="s">
        <v>3</v>
      </c>
      <c r="H26" s="8"/>
    </row>
    <row r="27" spans="1:8" ht="15.6" x14ac:dyDescent="0.3">
      <c r="A27" s="7">
        <f t="shared" si="0"/>
        <v>15</v>
      </c>
      <c r="B27" s="20"/>
      <c r="C27" s="20"/>
      <c r="D27" s="22">
        <v>7</v>
      </c>
      <c r="E27" s="20"/>
      <c r="F27" s="20"/>
      <c r="G27" s="4" t="s">
        <v>64</v>
      </c>
      <c r="H27" s="8"/>
    </row>
    <row r="28" spans="1:8" x14ac:dyDescent="0.3">
      <c r="D28" s="23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DC77-BE20-49FD-A54E-7276F4DB9513}">
  <dimension ref="A1:H30"/>
  <sheetViews>
    <sheetView view="pageLayout" zoomScale="70" zoomScaleNormal="100" zoomScalePageLayoutView="70" workbookViewId="0">
      <selection activeCell="G13" sqref="G13"/>
    </sheetView>
  </sheetViews>
  <sheetFormatPr defaultRowHeight="13.8" x14ac:dyDescent="0.25"/>
  <cols>
    <col min="1" max="1" width="5.44140625" style="1" bestFit="1" customWidth="1"/>
    <col min="2" max="3" width="6.77734375" style="1" customWidth="1"/>
    <col min="4" max="4" width="7.109375" style="1" customWidth="1"/>
    <col min="5" max="5" width="6.44140625" style="1" customWidth="1"/>
    <col min="6" max="6" width="6.5546875" style="1" customWidth="1"/>
    <col min="7" max="7" width="35.88671875" style="1" bestFit="1" customWidth="1"/>
    <col min="8" max="8" width="12" style="1" customWidth="1"/>
    <col min="9" max="16384" width="8.88671875" style="1"/>
  </cols>
  <sheetData>
    <row r="1" spans="1:8" ht="15.6" x14ac:dyDescent="0.3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" x14ac:dyDescent="0.25">
      <c r="A2" s="41" t="s">
        <v>66</v>
      </c>
      <c r="B2" s="42"/>
      <c r="C2" s="42"/>
      <c r="D2" s="42"/>
      <c r="E2" s="42"/>
      <c r="F2" s="43"/>
      <c r="G2" s="33" t="s">
        <v>2</v>
      </c>
      <c r="H2" s="33"/>
    </row>
    <row r="3" spans="1:8" ht="15.6" x14ac:dyDescent="0.3">
      <c r="A3" s="34" t="s">
        <v>88</v>
      </c>
      <c r="B3" s="34"/>
      <c r="C3" s="34"/>
      <c r="D3" s="34"/>
      <c r="E3" s="34"/>
      <c r="F3" s="34"/>
      <c r="G3" s="33"/>
      <c r="H3" s="33"/>
    </row>
    <row r="4" spans="1:8" ht="15" x14ac:dyDescent="0.25">
      <c r="A4" s="35" t="s">
        <v>60</v>
      </c>
      <c r="B4" s="35"/>
      <c r="C4" s="35"/>
      <c r="D4" s="35"/>
      <c r="E4" s="35"/>
      <c r="F4" s="35"/>
      <c r="G4" s="4"/>
      <c r="H4" s="5" t="s">
        <v>99</v>
      </c>
    </row>
    <row r="5" spans="1:8" ht="15" x14ac:dyDescent="0.25">
      <c r="A5" s="35"/>
      <c r="B5" s="35"/>
      <c r="C5" s="35"/>
      <c r="D5" s="35"/>
      <c r="E5" s="35"/>
      <c r="F5" s="35"/>
      <c r="G5" s="4" t="s">
        <v>3</v>
      </c>
      <c r="H5" s="3">
        <v>1</v>
      </c>
    </row>
    <row r="6" spans="1:8" ht="15" x14ac:dyDescent="0.25">
      <c r="A6" s="28" t="s">
        <v>1</v>
      </c>
      <c r="B6" s="28"/>
      <c r="C6" s="28"/>
      <c r="D6" s="28"/>
      <c r="E6" s="28"/>
      <c r="F6" s="28"/>
      <c r="G6" s="4" t="s">
        <v>4</v>
      </c>
      <c r="H6" s="3">
        <v>7</v>
      </c>
    </row>
    <row r="7" spans="1:8" ht="15" x14ac:dyDescent="0.25">
      <c r="A7" s="28"/>
      <c r="B7" s="28"/>
      <c r="C7" s="28"/>
      <c r="D7" s="28"/>
      <c r="E7" s="28"/>
      <c r="F7" s="28"/>
      <c r="G7" s="4" t="s">
        <v>5</v>
      </c>
      <c r="H7" s="3">
        <v>7</v>
      </c>
    </row>
    <row r="8" spans="1:8" ht="15" x14ac:dyDescent="0.25">
      <c r="A8" s="28" t="s">
        <v>10</v>
      </c>
      <c r="B8" s="28"/>
      <c r="C8" s="28"/>
      <c r="D8" s="28"/>
      <c r="E8" s="28"/>
      <c r="F8" s="28"/>
      <c r="G8" s="4" t="s">
        <v>6</v>
      </c>
      <c r="H8" s="3">
        <v>1</v>
      </c>
    </row>
    <row r="9" spans="1:8" ht="15" x14ac:dyDescent="0.25">
      <c r="A9" s="28"/>
      <c r="B9" s="28"/>
      <c r="C9" s="28"/>
      <c r="D9" s="28"/>
      <c r="E9" s="28"/>
      <c r="F9" s="28"/>
      <c r="G9" s="4" t="s">
        <v>7</v>
      </c>
      <c r="H9" s="3">
        <v>0</v>
      </c>
    </row>
    <row r="10" spans="1:8" ht="15" x14ac:dyDescent="0.25">
      <c r="A10" s="28"/>
      <c r="B10" s="28"/>
      <c r="C10" s="28"/>
      <c r="D10" s="28"/>
      <c r="E10" s="28"/>
      <c r="F10" s="28"/>
      <c r="G10" s="4" t="s">
        <v>8</v>
      </c>
      <c r="H10" s="3">
        <v>15</v>
      </c>
    </row>
    <row r="11" spans="1:8" ht="15" x14ac:dyDescent="0.25">
      <c r="A11" s="28"/>
      <c r="B11" s="28"/>
      <c r="C11" s="28"/>
      <c r="D11" s="28"/>
      <c r="E11" s="28"/>
      <c r="F11" s="28"/>
      <c r="G11" s="4" t="s">
        <v>9</v>
      </c>
      <c r="H11" s="3"/>
    </row>
    <row r="12" spans="1:8" ht="15.6" x14ac:dyDescent="0.3">
      <c r="A12" s="17" t="s">
        <v>0</v>
      </c>
      <c r="B12" s="18"/>
      <c r="C12" s="18"/>
      <c r="D12" s="18"/>
      <c r="E12" s="18"/>
      <c r="F12" s="18"/>
      <c r="G12" s="19" t="s">
        <v>11</v>
      </c>
      <c r="H12" s="19" t="s">
        <v>12</v>
      </c>
    </row>
    <row r="13" spans="1:8" ht="15" x14ac:dyDescent="0.25">
      <c r="A13" s="3">
        <v>1</v>
      </c>
      <c r="B13" s="15"/>
      <c r="C13" s="15"/>
      <c r="D13" s="16"/>
      <c r="E13" s="15"/>
      <c r="F13" s="15">
        <v>1</v>
      </c>
      <c r="G13" s="4" t="s">
        <v>14</v>
      </c>
      <c r="H13" s="4"/>
    </row>
    <row r="14" spans="1:8" ht="15" x14ac:dyDescent="0.25">
      <c r="A14" s="3">
        <f>A13+1</f>
        <v>2</v>
      </c>
      <c r="B14" s="15"/>
      <c r="C14" s="15"/>
      <c r="D14" s="16">
        <v>1</v>
      </c>
      <c r="E14" s="15"/>
      <c r="F14" s="15"/>
      <c r="G14" s="4" t="s">
        <v>86</v>
      </c>
      <c r="H14" s="4"/>
    </row>
    <row r="15" spans="1:8" ht="15" x14ac:dyDescent="0.25">
      <c r="A15" s="3">
        <f t="shared" ref="A15:A27" si="0">A14+1</f>
        <v>3</v>
      </c>
      <c r="B15" s="15">
        <v>1</v>
      </c>
      <c r="C15" s="15"/>
      <c r="D15" s="16"/>
      <c r="E15" s="15"/>
      <c r="F15" s="15"/>
      <c r="G15" s="4" t="s">
        <v>15</v>
      </c>
      <c r="H15" s="4"/>
    </row>
    <row r="16" spans="1:8" ht="15" x14ac:dyDescent="0.25">
      <c r="A16" s="3">
        <f t="shared" si="0"/>
        <v>4</v>
      </c>
      <c r="B16" s="15"/>
      <c r="C16" s="15"/>
      <c r="D16" s="16">
        <v>2</v>
      </c>
      <c r="E16" s="15"/>
      <c r="F16" s="15"/>
      <c r="G16" s="4" t="s">
        <v>46</v>
      </c>
      <c r="H16" s="4"/>
    </row>
    <row r="17" spans="1:8" ht="15" x14ac:dyDescent="0.25">
      <c r="A17" s="3">
        <f t="shared" si="0"/>
        <v>5</v>
      </c>
      <c r="B17" s="15">
        <v>2</v>
      </c>
      <c r="C17" s="15"/>
      <c r="D17" s="16"/>
      <c r="E17" s="15"/>
      <c r="F17" s="15"/>
      <c r="G17" s="4" t="s">
        <v>40</v>
      </c>
      <c r="H17" s="4"/>
    </row>
    <row r="18" spans="1:8" ht="15" x14ac:dyDescent="0.25">
      <c r="A18" s="3">
        <f t="shared" si="0"/>
        <v>6</v>
      </c>
      <c r="B18" s="15"/>
      <c r="C18" s="15"/>
      <c r="D18" s="16">
        <v>3</v>
      </c>
      <c r="E18" s="15"/>
      <c r="F18" s="15"/>
      <c r="G18" s="4" t="s">
        <v>41</v>
      </c>
      <c r="H18" s="4"/>
    </row>
    <row r="19" spans="1:8" ht="15" x14ac:dyDescent="0.25">
      <c r="A19" s="3">
        <f t="shared" si="0"/>
        <v>7</v>
      </c>
      <c r="B19" s="15">
        <v>3</v>
      </c>
      <c r="C19" s="15"/>
      <c r="D19" s="16"/>
      <c r="E19" s="15"/>
      <c r="F19" s="15"/>
      <c r="G19" s="4" t="s">
        <v>42</v>
      </c>
      <c r="H19" s="4"/>
    </row>
    <row r="20" spans="1:8" ht="15" x14ac:dyDescent="0.25">
      <c r="A20" s="3">
        <f t="shared" si="0"/>
        <v>8</v>
      </c>
      <c r="B20" s="15">
        <v>4</v>
      </c>
      <c r="C20" s="15"/>
      <c r="D20" s="16"/>
      <c r="E20" s="15"/>
      <c r="F20" s="15"/>
      <c r="G20" s="4" t="s">
        <v>47</v>
      </c>
      <c r="H20" s="4"/>
    </row>
    <row r="21" spans="1:8" ht="15" x14ac:dyDescent="0.25">
      <c r="A21" s="3">
        <f t="shared" si="0"/>
        <v>9</v>
      </c>
      <c r="B21" s="15">
        <v>5</v>
      </c>
      <c r="C21" s="15"/>
      <c r="D21" s="16"/>
      <c r="E21" s="15"/>
      <c r="F21" s="15"/>
      <c r="G21" s="4" t="s">
        <v>48</v>
      </c>
      <c r="H21" s="4"/>
    </row>
    <row r="22" spans="1:8" ht="15" x14ac:dyDescent="0.25">
      <c r="A22" s="3">
        <f t="shared" si="0"/>
        <v>10</v>
      </c>
      <c r="B22" s="15"/>
      <c r="C22" s="15"/>
      <c r="D22" s="16">
        <v>4</v>
      </c>
      <c r="E22" s="15"/>
      <c r="F22" s="15"/>
      <c r="G22" s="4" t="s">
        <v>49</v>
      </c>
      <c r="H22" s="4"/>
    </row>
    <row r="23" spans="1:8" ht="15" x14ac:dyDescent="0.25">
      <c r="A23" s="3">
        <f t="shared" si="0"/>
        <v>11</v>
      </c>
      <c r="B23" s="15">
        <v>6</v>
      </c>
      <c r="C23" s="15"/>
      <c r="D23" s="16"/>
      <c r="E23" s="15"/>
      <c r="F23" s="15"/>
      <c r="G23" s="4" t="s">
        <v>17</v>
      </c>
      <c r="H23" s="4"/>
    </row>
    <row r="24" spans="1:8" ht="15" x14ac:dyDescent="0.25">
      <c r="A24" s="3">
        <f t="shared" si="0"/>
        <v>12</v>
      </c>
      <c r="B24" s="15"/>
      <c r="C24" s="15"/>
      <c r="D24" s="16">
        <v>5</v>
      </c>
      <c r="E24" s="15"/>
      <c r="F24" s="15"/>
      <c r="G24" s="4" t="s">
        <v>45</v>
      </c>
      <c r="H24" s="4"/>
    </row>
    <row r="25" spans="1:8" ht="15" x14ac:dyDescent="0.25">
      <c r="A25" s="3">
        <f t="shared" si="0"/>
        <v>13</v>
      </c>
      <c r="B25" s="15">
        <v>7</v>
      </c>
      <c r="C25" s="15"/>
      <c r="D25" s="16"/>
      <c r="E25" s="15"/>
      <c r="F25" s="15"/>
      <c r="G25" s="4" t="s">
        <v>50</v>
      </c>
      <c r="H25" s="4"/>
    </row>
    <row r="26" spans="1:8" ht="15" x14ac:dyDescent="0.25">
      <c r="A26" s="3">
        <f t="shared" si="0"/>
        <v>14</v>
      </c>
      <c r="B26" s="15"/>
      <c r="C26" s="15"/>
      <c r="D26" s="16">
        <v>6</v>
      </c>
      <c r="E26" s="15"/>
      <c r="F26" s="15"/>
      <c r="G26" s="4" t="s">
        <v>32</v>
      </c>
      <c r="H26" s="4"/>
    </row>
    <row r="27" spans="1:8" ht="15" x14ac:dyDescent="0.25">
      <c r="A27" s="3">
        <f t="shared" si="0"/>
        <v>15</v>
      </c>
      <c r="B27" s="15"/>
      <c r="C27" s="15">
        <v>1</v>
      </c>
      <c r="D27" s="16"/>
      <c r="E27" s="15"/>
      <c r="F27" s="15"/>
      <c r="G27" s="4" t="s">
        <v>3</v>
      </c>
      <c r="H27" s="4"/>
    </row>
    <row r="28" spans="1:8" ht="15" x14ac:dyDescent="0.25">
      <c r="A28" s="3">
        <f>A27+1</f>
        <v>16</v>
      </c>
      <c r="B28" s="15"/>
      <c r="C28" s="15"/>
      <c r="D28" s="16">
        <v>7</v>
      </c>
      <c r="E28" s="15"/>
      <c r="F28" s="15"/>
      <c r="G28" s="4" t="s">
        <v>64</v>
      </c>
      <c r="H28" s="4"/>
    </row>
    <row r="29" spans="1:8" x14ac:dyDescent="0.25">
      <c r="D29" s="24"/>
    </row>
    <row r="30" spans="1:8" x14ac:dyDescent="0.25">
      <c r="D30" s="24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2CB7-8A9E-48D5-BDAC-AFD39921086E}">
  <dimension ref="A1:H30"/>
  <sheetViews>
    <sheetView view="pageLayout" zoomScaleNormal="100" workbookViewId="0">
      <selection activeCell="H5" sqref="H5"/>
    </sheetView>
  </sheetViews>
  <sheetFormatPr defaultRowHeight="14.4" x14ac:dyDescent="0.3"/>
  <cols>
    <col min="1" max="1" width="5.44140625" bestFit="1" customWidth="1"/>
    <col min="2" max="2" width="6" customWidth="1"/>
    <col min="3" max="3" width="6.21875" customWidth="1"/>
    <col min="4" max="4" width="7.5546875" customWidth="1"/>
    <col min="5" max="5" width="5.88671875" customWidth="1"/>
    <col min="6" max="6" width="8.33203125" customWidth="1"/>
    <col min="7" max="7" width="32.5546875" customWidth="1"/>
    <col min="8" max="8" width="15.33203125" customWidth="1"/>
  </cols>
  <sheetData>
    <row r="1" spans="1:8" ht="15.6" x14ac:dyDescent="0.3">
      <c r="A1" s="29" t="s">
        <v>13</v>
      </c>
      <c r="B1" s="40"/>
      <c r="C1" s="40"/>
      <c r="D1" s="40"/>
      <c r="E1" s="40"/>
      <c r="F1" s="40"/>
      <c r="G1" s="40"/>
      <c r="H1" s="40"/>
    </row>
    <row r="2" spans="1:8" ht="15.6" x14ac:dyDescent="0.3">
      <c r="A2" s="41" t="s">
        <v>66</v>
      </c>
      <c r="B2" s="42"/>
      <c r="C2" s="42"/>
      <c r="D2" s="42"/>
      <c r="E2" s="42"/>
      <c r="F2" s="43"/>
      <c r="G2" s="33" t="s">
        <v>2</v>
      </c>
      <c r="H2" s="33"/>
    </row>
    <row r="3" spans="1:8" ht="15.6" x14ac:dyDescent="0.3">
      <c r="A3" s="34" t="s">
        <v>89</v>
      </c>
      <c r="B3" s="34"/>
      <c r="C3" s="34"/>
      <c r="D3" s="34"/>
      <c r="E3" s="34"/>
      <c r="F3" s="34"/>
      <c r="G3" s="33"/>
      <c r="H3" s="33"/>
    </row>
    <row r="4" spans="1:8" ht="15.6" x14ac:dyDescent="0.3">
      <c r="A4" s="35" t="s">
        <v>61</v>
      </c>
      <c r="B4" s="35"/>
      <c r="C4" s="35"/>
      <c r="D4" s="35"/>
      <c r="E4" s="35"/>
      <c r="F4" s="35"/>
      <c r="G4" s="4"/>
      <c r="H4" s="5" t="s">
        <v>100</v>
      </c>
    </row>
    <row r="5" spans="1:8" ht="15.6" x14ac:dyDescent="0.3">
      <c r="A5" s="35"/>
      <c r="B5" s="35"/>
      <c r="C5" s="35"/>
      <c r="D5" s="35"/>
      <c r="E5" s="35"/>
      <c r="F5" s="35"/>
      <c r="G5" s="4" t="s">
        <v>3</v>
      </c>
      <c r="H5" s="3">
        <v>1</v>
      </c>
    </row>
    <row r="6" spans="1:8" ht="15.6" x14ac:dyDescent="0.3">
      <c r="A6" s="28" t="s">
        <v>1</v>
      </c>
      <c r="B6" s="28"/>
      <c r="C6" s="28"/>
      <c r="D6" s="28"/>
      <c r="E6" s="28"/>
      <c r="F6" s="28"/>
      <c r="G6" s="4" t="s">
        <v>4</v>
      </c>
      <c r="H6" s="3">
        <v>7</v>
      </c>
    </row>
    <row r="7" spans="1:8" ht="15.6" x14ac:dyDescent="0.3">
      <c r="A7" s="28"/>
      <c r="B7" s="28"/>
      <c r="C7" s="28"/>
      <c r="D7" s="28"/>
      <c r="E7" s="28"/>
      <c r="F7" s="28"/>
      <c r="G7" s="4" t="s">
        <v>5</v>
      </c>
      <c r="H7" s="3">
        <v>9</v>
      </c>
    </row>
    <row r="8" spans="1:8" ht="15.6" x14ac:dyDescent="0.3">
      <c r="A8" s="28" t="s">
        <v>10</v>
      </c>
      <c r="B8" s="28"/>
      <c r="C8" s="28"/>
      <c r="D8" s="28"/>
      <c r="E8" s="28"/>
      <c r="F8" s="28"/>
      <c r="G8" s="4" t="s">
        <v>6</v>
      </c>
      <c r="H8" s="3">
        <v>1</v>
      </c>
    </row>
    <row r="9" spans="1:8" ht="15.6" x14ac:dyDescent="0.3">
      <c r="A9" s="28"/>
      <c r="B9" s="28"/>
      <c r="C9" s="28"/>
      <c r="D9" s="28"/>
      <c r="E9" s="28"/>
      <c r="F9" s="28"/>
      <c r="G9" s="4" t="s">
        <v>7</v>
      </c>
      <c r="H9" s="3">
        <v>0</v>
      </c>
    </row>
    <row r="10" spans="1:8" ht="15.6" x14ac:dyDescent="0.3">
      <c r="A10" s="28"/>
      <c r="B10" s="28"/>
      <c r="C10" s="28"/>
      <c r="D10" s="28"/>
      <c r="E10" s="28"/>
      <c r="F10" s="28"/>
      <c r="G10" s="4" t="s">
        <v>8</v>
      </c>
      <c r="H10" s="3">
        <v>17</v>
      </c>
    </row>
    <row r="11" spans="1:8" ht="15.6" x14ac:dyDescent="0.3">
      <c r="A11" s="28"/>
      <c r="B11" s="28"/>
      <c r="C11" s="28"/>
      <c r="D11" s="28"/>
      <c r="E11" s="28"/>
      <c r="F11" s="28"/>
      <c r="G11" s="4" t="s">
        <v>9</v>
      </c>
      <c r="H11" s="3"/>
    </row>
    <row r="12" spans="1:8" ht="31.2" x14ac:dyDescent="0.3">
      <c r="A12" s="17" t="s">
        <v>0</v>
      </c>
      <c r="B12" s="18"/>
      <c r="C12" s="18"/>
      <c r="D12" s="18"/>
      <c r="E12" s="18"/>
      <c r="F12" s="18"/>
      <c r="G12" s="25" t="s">
        <v>11</v>
      </c>
      <c r="H12" s="19" t="s">
        <v>12</v>
      </c>
    </row>
    <row r="13" spans="1:8" ht="15.6" x14ac:dyDescent="0.3">
      <c r="A13" s="7">
        <v>1</v>
      </c>
      <c r="B13" s="20"/>
      <c r="C13" s="20"/>
      <c r="D13" s="22"/>
      <c r="E13" s="20"/>
      <c r="F13" s="21">
        <v>1</v>
      </c>
      <c r="G13" s="4" t="s">
        <v>14</v>
      </c>
      <c r="H13" s="8"/>
    </row>
    <row r="14" spans="1:8" ht="15.6" x14ac:dyDescent="0.3">
      <c r="A14" s="7">
        <f>A13+1</f>
        <v>2</v>
      </c>
      <c r="B14" s="20"/>
      <c r="C14" s="20"/>
      <c r="D14" s="22">
        <v>1</v>
      </c>
      <c r="E14" s="20"/>
      <c r="F14" s="20"/>
      <c r="G14" s="4" t="s">
        <v>86</v>
      </c>
      <c r="H14" s="8"/>
    </row>
    <row r="15" spans="1:8" ht="15.6" x14ac:dyDescent="0.3">
      <c r="A15" s="7">
        <f t="shared" ref="A15:A29" si="0">A14+1</f>
        <v>3</v>
      </c>
      <c r="B15" s="20">
        <v>1</v>
      </c>
      <c r="C15" s="20"/>
      <c r="D15" s="22"/>
      <c r="E15" s="20"/>
      <c r="F15" s="20"/>
      <c r="G15" s="4" t="s">
        <v>15</v>
      </c>
      <c r="H15" s="8"/>
    </row>
    <row r="16" spans="1:8" ht="15.6" x14ac:dyDescent="0.3">
      <c r="A16" s="7">
        <f t="shared" si="0"/>
        <v>4</v>
      </c>
      <c r="B16" s="20"/>
      <c r="C16" s="20"/>
      <c r="D16" s="22">
        <v>2</v>
      </c>
      <c r="E16" s="20"/>
      <c r="F16" s="20"/>
      <c r="G16" s="4" t="s">
        <v>16</v>
      </c>
      <c r="H16" s="8"/>
    </row>
    <row r="17" spans="1:8" ht="15.6" x14ac:dyDescent="0.3">
      <c r="A17" s="7">
        <f t="shared" si="0"/>
        <v>5</v>
      </c>
      <c r="B17" s="20">
        <v>2</v>
      </c>
      <c r="C17" s="20"/>
      <c r="D17" s="22"/>
      <c r="E17" s="20"/>
      <c r="F17" s="20"/>
      <c r="G17" s="4" t="s">
        <v>51</v>
      </c>
      <c r="H17" s="8"/>
    </row>
    <row r="18" spans="1:8" ht="15.6" x14ac:dyDescent="0.3">
      <c r="A18" s="7">
        <f t="shared" si="0"/>
        <v>6</v>
      </c>
      <c r="B18" s="20"/>
      <c r="C18" s="20"/>
      <c r="D18" s="22">
        <v>3</v>
      </c>
      <c r="E18" s="20"/>
      <c r="F18" s="20"/>
      <c r="G18" s="4" t="s">
        <v>28</v>
      </c>
      <c r="H18" s="8"/>
    </row>
    <row r="19" spans="1:8" ht="15.6" x14ac:dyDescent="0.3">
      <c r="A19" s="7">
        <f t="shared" si="0"/>
        <v>7</v>
      </c>
      <c r="B19" s="20">
        <v>3</v>
      </c>
      <c r="C19" s="20"/>
      <c r="D19" s="22"/>
      <c r="E19" s="20"/>
      <c r="F19" s="20"/>
      <c r="G19" s="4" t="s">
        <v>29</v>
      </c>
      <c r="H19" s="8"/>
    </row>
    <row r="20" spans="1:8" ht="15.6" x14ac:dyDescent="0.3">
      <c r="A20" s="7">
        <f t="shared" si="0"/>
        <v>8</v>
      </c>
      <c r="B20" s="20"/>
      <c r="C20" s="20"/>
      <c r="D20" s="22">
        <v>4</v>
      </c>
      <c r="E20" s="20"/>
      <c r="F20" s="20"/>
      <c r="G20" s="4" t="s">
        <v>84</v>
      </c>
      <c r="H20" s="8"/>
    </row>
    <row r="21" spans="1:8" ht="15.6" x14ac:dyDescent="0.3">
      <c r="A21" s="7">
        <f t="shared" si="0"/>
        <v>9</v>
      </c>
      <c r="B21" s="20">
        <v>4</v>
      </c>
      <c r="C21" s="20"/>
      <c r="D21" s="22"/>
      <c r="E21" s="20"/>
      <c r="F21" s="20"/>
      <c r="G21" s="4" t="s">
        <v>52</v>
      </c>
      <c r="H21" s="8"/>
    </row>
    <row r="22" spans="1:8" ht="15.6" x14ac:dyDescent="0.3">
      <c r="A22" s="7">
        <f t="shared" si="0"/>
        <v>10</v>
      </c>
      <c r="B22" s="20"/>
      <c r="C22" s="20"/>
      <c r="D22" s="22">
        <v>5</v>
      </c>
      <c r="E22" s="20"/>
      <c r="F22" s="20"/>
      <c r="G22" s="4" t="s">
        <v>44</v>
      </c>
      <c r="H22" s="8"/>
    </row>
    <row r="23" spans="1:8" ht="15.6" x14ac:dyDescent="0.3">
      <c r="A23" s="7">
        <f t="shared" si="0"/>
        <v>11</v>
      </c>
      <c r="B23" s="20">
        <v>5</v>
      </c>
      <c r="C23" s="20"/>
      <c r="D23" s="22"/>
      <c r="E23" s="20"/>
      <c r="F23" s="20"/>
      <c r="G23" s="4" t="s">
        <v>53</v>
      </c>
      <c r="H23" s="8"/>
    </row>
    <row r="24" spans="1:8" ht="15.6" x14ac:dyDescent="0.3">
      <c r="A24" s="7">
        <f t="shared" si="0"/>
        <v>12</v>
      </c>
      <c r="B24" s="20"/>
      <c r="C24" s="20"/>
      <c r="D24" s="22">
        <v>6</v>
      </c>
      <c r="E24" s="20"/>
      <c r="F24" s="20"/>
      <c r="G24" s="4" t="s">
        <v>37</v>
      </c>
      <c r="H24" s="8"/>
    </row>
    <row r="25" spans="1:8" ht="15.6" x14ac:dyDescent="0.3">
      <c r="A25" s="7">
        <f t="shared" si="0"/>
        <v>13</v>
      </c>
      <c r="B25" s="20">
        <v>6</v>
      </c>
      <c r="C25" s="20"/>
      <c r="D25" s="22"/>
      <c r="E25" s="20"/>
      <c r="F25" s="20"/>
      <c r="G25" s="4" t="s">
        <v>38</v>
      </c>
      <c r="H25" s="8"/>
    </row>
    <row r="26" spans="1:8" ht="15.6" x14ac:dyDescent="0.3">
      <c r="A26" s="7">
        <f t="shared" si="0"/>
        <v>14</v>
      </c>
      <c r="B26" s="20"/>
      <c r="C26" s="20"/>
      <c r="D26" s="22">
        <v>7</v>
      </c>
      <c r="E26" s="20"/>
      <c r="F26" s="20"/>
      <c r="G26" s="4" t="s">
        <v>54</v>
      </c>
      <c r="H26" s="8"/>
    </row>
    <row r="27" spans="1:8" ht="15.6" x14ac:dyDescent="0.3">
      <c r="A27" s="7">
        <f t="shared" si="0"/>
        <v>15</v>
      </c>
      <c r="B27" s="20">
        <v>7</v>
      </c>
      <c r="C27" s="20"/>
      <c r="D27" s="22"/>
      <c r="E27" s="20"/>
      <c r="F27" s="20"/>
      <c r="G27" s="4" t="s">
        <v>31</v>
      </c>
      <c r="H27" s="8"/>
    </row>
    <row r="28" spans="1:8" ht="15.6" x14ac:dyDescent="0.3">
      <c r="A28" s="7">
        <f t="shared" si="0"/>
        <v>16</v>
      </c>
      <c r="B28" s="20"/>
      <c r="C28" s="20"/>
      <c r="D28" s="22">
        <v>8</v>
      </c>
      <c r="E28" s="20"/>
      <c r="F28" s="20"/>
      <c r="G28" s="4" t="s">
        <v>21</v>
      </c>
      <c r="H28" s="8"/>
    </row>
    <row r="29" spans="1:8" ht="15.6" x14ac:dyDescent="0.3">
      <c r="A29" s="7">
        <f t="shared" si="0"/>
        <v>17</v>
      </c>
      <c r="B29" s="20"/>
      <c r="C29" s="20">
        <v>1</v>
      </c>
      <c r="D29" s="22"/>
      <c r="E29" s="20"/>
      <c r="F29" s="20"/>
      <c r="G29" s="4" t="s">
        <v>3</v>
      </c>
      <c r="H29" s="8"/>
    </row>
    <row r="30" spans="1:8" ht="15.6" x14ac:dyDescent="0.3">
      <c r="A30" s="7">
        <f>A29+1</f>
        <v>18</v>
      </c>
      <c r="B30" s="20"/>
      <c r="C30" s="20"/>
      <c r="D30" s="22">
        <v>9</v>
      </c>
      <c r="E30" s="20"/>
      <c r="F30" s="20"/>
      <c r="G30" s="4" t="s">
        <v>64</v>
      </c>
      <c r="H30" s="8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AE8D-E7F0-467D-8C85-AB2E72D01183}">
  <dimension ref="A1:H26"/>
  <sheetViews>
    <sheetView view="pageLayout" zoomScaleNormal="100" workbookViewId="0">
      <selection activeCell="H9" sqref="H9"/>
    </sheetView>
  </sheetViews>
  <sheetFormatPr defaultRowHeight="14.4" x14ac:dyDescent="0.3"/>
  <cols>
    <col min="1" max="1" width="5.44140625" bestFit="1" customWidth="1"/>
    <col min="2" max="2" width="6.6640625" customWidth="1"/>
    <col min="3" max="3" width="6.33203125" customWidth="1"/>
    <col min="4" max="4" width="6.6640625" customWidth="1"/>
    <col min="5" max="5" width="5.5546875" customWidth="1"/>
    <col min="6" max="6" width="7" customWidth="1"/>
    <col min="7" max="7" width="33" customWidth="1"/>
    <col min="8" max="8" width="15.44140625" customWidth="1"/>
  </cols>
  <sheetData>
    <row r="1" spans="1:8" ht="15.6" x14ac:dyDescent="0.3">
      <c r="A1" s="29" t="s">
        <v>13</v>
      </c>
      <c r="B1" s="40"/>
      <c r="C1" s="40"/>
      <c r="D1" s="40"/>
      <c r="E1" s="40"/>
      <c r="F1" s="40"/>
      <c r="G1" s="40"/>
      <c r="H1" s="40"/>
    </row>
    <row r="2" spans="1:8" ht="15.6" x14ac:dyDescent="0.3">
      <c r="A2" s="30" t="s">
        <v>66</v>
      </c>
      <c r="B2" s="31"/>
      <c r="C2" s="31"/>
      <c r="D2" s="31"/>
      <c r="E2" s="31"/>
      <c r="F2" s="32"/>
      <c r="G2" s="33" t="s">
        <v>2</v>
      </c>
      <c r="H2" s="33"/>
    </row>
    <row r="3" spans="1:8" ht="15.6" x14ac:dyDescent="0.3">
      <c r="A3" s="34" t="s">
        <v>90</v>
      </c>
      <c r="B3" s="34"/>
      <c r="C3" s="34"/>
      <c r="D3" s="34"/>
      <c r="E3" s="34"/>
      <c r="F3" s="34"/>
      <c r="G3" s="33"/>
      <c r="H3" s="33"/>
    </row>
    <row r="4" spans="1:8" ht="15.6" x14ac:dyDescent="0.3">
      <c r="A4" s="35" t="s">
        <v>62</v>
      </c>
      <c r="B4" s="35"/>
      <c r="C4" s="35"/>
      <c r="D4" s="35"/>
      <c r="E4" s="35"/>
      <c r="F4" s="35"/>
      <c r="G4" s="4"/>
      <c r="H4" s="5" t="s">
        <v>101</v>
      </c>
    </row>
    <row r="5" spans="1:8" ht="15.6" x14ac:dyDescent="0.3">
      <c r="A5" s="35"/>
      <c r="B5" s="35"/>
      <c r="C5" s="35"/>
      <c r="D5" s="35"/>
      <c r="E5" s="35"/>
      <c r="F5" s="35"/>
      <c r="G5" s="4" t="s">
        <v>3</v>
      </c>
      <c r="H5" s="3">
        <v>1</v>
      </c>
    </row>
    <row r="6" spans="1:8" ht="15.6" x14ac:dyDescent="0.3">
      <c r="A6" s="28" t="s">
        <v>1</v>
      </c>
      <c r="B6" s="28"/>
      <c r="C6" s="28"/>
      <c r="D6" s="28"/>
      <c r="E6" s="28"/>
      <c r="F6" s="28"/>
      <c r="G6" s="4" t="s">
        <v>4</v>
      </c>
      <c r="H6" s="3">
        <v>5</v>
      </c>
    </row>
    <row r="7" spans="1:8" ht="15.6" x14ac:dyDescent="0.3">
      <c r="A7" s="28"/>
      <c r="B7" s="28"/>
      <c r="C7" s="28"/>
      <c r="D7" s="28"/>
      <c r="E7" s="28"/>
      <c r="F7" s="28"/>
      <c r="G7" s="4" t="s">
        <v>5</v>
      </c>
      <c r="H7" s="3">
        <v>7</v>
      </c>
    </row>
    <row r="8" spans="1:8" ht="15.6" x14ac:dyDescent="0.3">
      <c r="A8" s="28" t="s">
        <v>10</v>
      </c>
      <c r="B8" s="28"/>
      <c r="C8" s="28"/>
      <c r="D8" s="28"/>
      <c r="E8" s="28"/>
      <c r="F8" s="28"/>
      <c r="G8" s="4" t="s">
        <v>6</v>
      </c>
      <c r="H8" s="3">
        <v>1</v>
      </c>
    </row>
    <row r="9" spans="1:8" ht="15.6" x14ac:dyDescent="0.3">
      <c r="A9" s="28"/>
      <c r="B9" s="28"/>
      <c r="C9" s="28"/>
      <c r="D9" s="28"/>
      <c r="E9" s="28"/>
      <c r="F9" s="28"/>
      <c r="G9" s="4" t="s">
        <v>7</v>
      </c>
      <c r="H9" s="3">
        <v>0</v>
      </c>
    </row>
    <row r="10" spans="1:8" ht="15.6" x14ac:dyDescent="0.3">
      <c r="A10" s="28"/>
      <c r="B10" s="28"/>
      <c r="C10" s="28"/>
      <c r="D10" s="28"/>
      <c r="E10" s="28"/>
      <c r="F10" s="28"/>
      <c r="G10" s="4" t="s">
        <v>8</v>
      </c>
      <c r="H10" s="3">
        <v>13</v>
      </c>
    </row>
    <row r="11" spans="1:8" ht="15.6" x14ac:dyDescent="0.3">
      <c r="A11" s="28"/>
      <c r="B11" s="28"/>
      <c r="C11" s="28"/>
      <c r="D11" s="28"/>
      <c r="E11" s="28"/>
      <c r="F11" s="28"/>
      <c r="G11" s="4" t="s">
        <v>9</v>
      </c>
      <c r="H11" s="4"/>
    </row>
    <row r="12" spans="1:8" ht="31.2" x14ac:dyDescent="0.3">
      <c r="A12" s="17" t="s">
        <v>0</v>
      </c>
      <c r="B12" s="18"/>
      <c r="C12" s="18"/>
      <c r="D12" s="18"/>
      <c r="E12" s="18"/>
      <c r="F12" s="18"/>
      <c r="G12" s="25" t="s">
        <v>11</v>
      </c>
      <c r="H12" s="19" t="s">
        <v>12</v>
      </c>
    </row>
    <row r="13" spans="1:8" ht="15.6" x14ac:dyDescent="0.3">
      <c r="A13" s="7">
        <v>1</v>
      </c>
      <c r="B13" s="20"/>
      <c r="C13" s="20"/>
      <c r="D13" s="22"/>
      <c r="E13" s="20"/>
      <c r="F13" s="20">
        <v>1</v>
      </c>
      <c r="G13" s="4" t="s">
        <v>14</v>
      </c>
      <c r="H13" s="8"/>
    </row>
    <row r="14" spans="1:8" ht="15.6" x14ac:dyDescent="0.3">
      <c r="A14" s="7">
        <f>A13+1</f>
        <v>2</v>
      </c>
      <c r="B14" s="20"/>
      <c r="C14" s="20"/>
      <c r="D14" s="22">
        <v>1</v>
      </c>
      <c r="E14" s="20"/>
      <c r="F14" s="20"/>
      <c r="G14" s="4" t="s">
        <v>86</v>
      </c>
      <c r="H14" s="8"/>
    </row>
    <row r="15" spans="1:8" ht="15.6" x14ac:dyDescent="0.3">
      <c r="A15" s="7">
        <f t="shared" ref="A15:A25" si="0">A14+1</f>
        <v>3</v>
      </c>
      <c r="B15" s="20">
        <v>1</v>
      </c>
      <c r="C15" s="20"/>
      <c r="D15" s="22"/>
      <c r="E15" s="20"/>
      <c r="F15" s="20"/>
      <c r="G15" s="4" t="s">
        <v>15</v>
      </c>
      <c r="H15" s="8"/>
    </row>
    <row r="16" spans="1:8" ht="15.6" x14ac:dyDescent="0.3">
      <c r="A16" s="7">
        <f t="shared" si="0"/>
        <v>4</v>
      </c>
      <c r="B16" s="20"/>
      <c r="C16" s="20"/>
      <c r="D16" s="22">
        <v>2</v>
      </c>
      <c r="E16" s="20"/>
      <c r="F16" s="20"/>
      <c r="G16" s="4" t="s">
        <v>16</v>
      </c>
      <c r="H16" s="8"/>
    </row>
    <row r="17" spans="1:8" ht="15.6" x14ac:dyDescent="0.3">
      <c r="A17" s="7">
        <f t="shared" si="0"/>
        <v>5</v>
      </c>
      <c r="B17" s="20">
        <v>2</v>
      </c>
      <c r="C17" s="20"/>
      <c r="D17" s="22"/>
      <c r="E17" s="20"/>
      <c r="F17" s="20"/>
      <c r="G17" s="4" t="s">
        <v>40</v>
      </c>
      <c r="H17" s="8"/>
    </row>
    <row r="18" spans="1:8" ht="15.6" x14ac:dyDescent="0.3">
      <c r="A18" s="7">
        <f t="shared" si="0"/>
        <v>6</v>
      </c>
      <c r="B18" s="20"/>
      <c r="C18" s="20"/>
      <c r="D18" s="22">
        <v>3</v>
      </c>
      <c r="E18" s="20"/>
      <c r="F18" s="20"/>
      <c r="G18" s="4" t="s">
        <v>49</v>
      </c>
      <c r="H18" s="8"/>
    </row>
    <row r="19" spans="1:8" ht="15.6" x14ac:dyDescent="0.3">
      <c r="A19" s="7">
        <f t="shared" si="0"/>
        <v>7</v>
      </c>
      <c r="B19" s="20">
        <v>3</v>
      </c>
      <c r="C19" s="20"/>
      <c r="D19" s="22"/>
      <c r="E19" s="20"/>
      <c r="F19" s="20"/>
      <c r="G19" s="4" t="s">
        <v>17</v>
      </c>
      <c r="H19" s="8"/>
    </row>
    <row r="20" spans="1:8" ht="15.6" x14ac:dyDescent="0.3">
      <c r="A20" s="7">
        <f t="shared" si="0"/>
        <v>8</v>
      </c>
      <c r="B20" s="20"/>
      <c r="C20" s="20"/>
      <c r="D20" s="22">
        <v>4</v>
      </c>
      <c r="E20" s="20"/>
      <c r="F20" s="20"/>
      <c r="G20" s="4" t="s">
        <v>55</v>
      </c>
      <c r="H20" s="8"/>
    </row>
    <row r="21" spans="1:8" ht="15.6" x14ac:dyDescent="0.3">
      <c r="A21" s="7">
        <f t="shared" si="0"/>
        <v>9</v>
      </c>
      <c r="B21" s="20">
        <v>4</v>
      </c>
      <c r="C21" s="20"/>
      <c r="D21" s="22"/>
      <c r="E21" s="20"/>
      <c r="F21" s="20"/>
      <c r="G21" s="4" t="s">
        <v>29</v>
      </c>
      <c r="H21" s="8"/>
    </row>
    <row r="22" spans="1:8" ht="15.6" x14ac:dyDescent="0.3">
      <c r="A22" s="7">
        <f t="shared" si="0"/>
        <v>10</v>
      </c>
      <c r="B22" s="20"/>
      <c r="C22" s="20"/>
      <c r="D22" s="22">
        <v>5</v>
      </c>
      <c r="E22" s="20"/>
      <c r="F22" s="20"/>
      <c r="G22" s="4" t="s">
        <v>56</v>
      </c>
      <c r="H22" s="8"/>
    </row>
    <row r="23" spans="1:8" ht="15.6" x14ac:dyDescent="0.3">
      <c r="A23" s="7">
        <f t="shared" si="0"/>
        <v>11</v>
      </c>
      <c r="B23" s="20">
        <v>5</v>
      </c>
      <c r="C23" s="20"/>
      <c r="D23" s="22"/>
      <c r="E23" s="20"/>
      <c r="F23" s="20"/>
      <c r="G23" s="4" t="s">
        <v>31</v>
      </c>
      <c r="H23" s="8"/>
    </row>
    <row r="24" spans="1:8" ht="15.6" x14ac:dyDescent="0.3">
      <c r="A24" s="7">
        <f t="shared" si="0"/>
        <v>12</v>
      </c>
      <c r="B24" s="20"/>
      <c r="C24" s="20"/>
      <c r="D24" s="22">
        <v>6</v>
      </c>
      <c r="E24" s="20"/>
      <c r="F24" s="20"/>
      <c r="G24" s="4" t="s">
        <v>21</v>
      </c>
      <c r="H24" s="8"/>
    </row>
    <row r="25" spans="1:8" ht="15.6" x14ac:dyDescent="0.3">
      <c r="A25" s="7">
        <f t="shared" si="0"/>
        <v>13</v>
      </c>
      <c r="B25" s="20"/>
      <c r="C25" s="20">
        <v>1</v>
      </c>
      <c r="D25" s="22"/>
      <c r="E25" s="20"/>
      <c r="F25" s="20"/>
      <c r="G25" s="4" t="s">
        <v>3</v>
      </c>
      <c r="H25" s="8"/>
    </row>
    <row r="26" spans="1:8" ht="15.6" x14ac:dyDescent="0.3">
      <c r="A26" s="7">
        <f>A25+1</f>
        <v>14</v>
      </c>
      <c r="B26" s="20"/>
      <c r="C26" s="20"/>
      <c r="D26" s="22">
        <v>7</v>
      </c>
      <c r="E26" s="20"/>
      <c r="F26" s="20"/>
      <c r="G26" s="4" t="s">
        <v>64</v>
      </c>
      <c r="H26" s="8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7EBB-E64F-4194-916A-7BB5E00CD38D}">
  <dimension ref="A1:H27"/>
  <sheetViews>
    <sheetView view="pageLayout" zoomScale="85" zoomScaleNormal="100" zoomScalePageLayoutView="85" workbookViewId="0">
      <selection activeCell="G4" sqref="G4"/>
    </sheetView>
  </sheetViews>
  <sheetFormatPr defaultRowHeight="15" x14ac:dyDescent="0.25"/>
  <cols>
    <col min="1" max="1" width="8.6640625" style="11" customWidth="1"/>
    <col min="2" max="2" width="7.6640625" style="11" customWidth="1"/>
    <col min="3" max="3" width="7.33203125" style="11" customWidth="1"/>
    <col min="4" max="4" width="7.5546875" style="11" customWidth="1"/>
    <col min="5" max="5" width="5.33203125" style="11" customWidth="1"/>
    <col min="6" max="6" width="6.88671875" style="11" customWidth="1"/>
    <col min="7" max="7" width="33.33203125" style="11" customWidth="1"/>
    <col min="8" max="8" width="9.88671875" style="11" customWidth="1"/>
    <col min="9" max="16384" width="8.88671875" style="11"/>
  </cols>
  <sheetData>
    <row r="1" spans="1:8" ht="15.6" x14ac:dyDescent="0.3">
      <c r="A1" s="29" t="s">
        <v>13</v>
      </c>
      <c r="B1" s="29"/>
      <c r="C1" s="29"/>
      <c r="D1" s="29"/>
      <c r="E1" s="29"/>
      <c r="F1" s="29"/>
      <c r="G1" s="29"/>
      <c r="H1" s="29"/>
    </row>
    <row r="2" spans="1:8" x14ac:dyDescent="0.25">
      <c r="A2" s="30" t="s">
        <v>65</v>
      </c>
      <c r="B2" s="31"/>
      <c r="C2" s="31"/>
      <c r="D2" s="31"/>
      <c r="E2" s="31"/>
      <c r="F2" s="32"/>
      <c r="G2" s="33" t="s">
        <v>2</v>
      </c>
      <c r="H2" s="33"/>
    </row>
    <row r="3" spans="1:8" ht="15.6" x14ac:dyDescent="0.3">
      <c r="A3" s="34" t="s">
        <v>91</v>
      </c>
      <c r="B3" s="34"/>
      <c r="C3" s="34"/>
      <c r="D3" s="34"/>
      <c r="E3" s="34"/>
      <c r="F3" s="34"/>
      <c r="G3" s="33"/>
      <c r="H3" s="33"/>
    </row>
    <row r="4" spans="1:8" ht="30" x14ac:dyDescent="0.25">
      <c r="A4" s="35" t="s">
        <v>63</v>
      </c>
      <c r="B4" s="35"/>
      <c r="C4" s="35"/>
      <c r="D4" s="35"/>
      <c r="E4" s="35"/>
      <c r="F4" s="35"/>
      <c r="G4" s="4"/>
      <c r="H4" s="5" t="s">
        <v>102</v>
      </c>
    </row>
    <row r="5" spans="1:8" x14ac:dyDescent="0.25">
      <c r="A5" s="35"/>
      <c r="B5" s="35"/>
      <c r="C5" s="35"/>
      <c r="D5" s="35"/>
      <c r="E5" s="35"/>
      <c r="F5" s="35"/>
      <c r="G5" s="4" t="s">
        <v>3</v>
      </c>
      <c r="H5" s="3">
        <v>1</v>
      </c>
    </row>
    <row r="6" spans="1:8" x14ac:dyDescent="0.25">
      <c r="A6" s="28" t="s">
        <v>1</v>
      </c>
      <c r="B6" s="28"/>
      <c r="C6" s="28"/>
      <c r="D6" s="28"/>
      <c r="E6" s="28"/>
      <c r="F6" s="28"/>
      <c r="G6" s="4" t="s">
        <v>4</v>
      </c>
      <c r="H6" s="3">
        <v>5</v>
      </c>
    </row>
    <row r="7" spans="1:8" x14ac:dyDescent="0.25">
      <c r="A7" s="28"/>
      <c r="B7" s="28"/>
      <c r="C7" s="28"/>
      <c r="D7" s="28"/>
      <c r="E7" s="28"/>
      <c r="F7" s="28"/>
      <c r="G7" s="4" t="s">
        <v>5</v>
      </c>
      <c r="H7" s="3">
        <v>7</v>
      </c>
    </row>
    <row r="8" spans="1:8" x14ac:dyDescent="0.25">
      <c r="A8" s="28" t="s">
        <v>10</v>
      </c>
      <c r="B8" s="28"/>
      <c r="C8" s="28"/>
      <c r="D8" s="28"/>
      <c r="E8" s="28"/>
      <c r="F8" s="28"/>
      <c r="G8" s="4" t="s">
        <v>6</v>
      </c>
      <c r="H8" s="3">
        <v>1</v>
      </c>
    </row>
    <row r="9" spans="1:8" x14ac:dyDescent="0.25">
      <c r="A9" s="28"/>
      <c r="B9" s="28"/>
      <c r="C9" s="28"/>
      <c r="D9" s="28"/>
      <c r="E9" s="28"/>
      <c r="F9" s="28"/>
      <c r="G9" s="4" t="s">
        <v>7</v>
      </c>
      <c r="H9" s="3">
        <v>0</v>
      </c>
    </row>
    <row r="10" spans="1:8" x14ac:dyDescent="0.25">
      <c r="A10" s="28"/>
      <c r="B10" s="28"/>
      <c r="C10" s="28"/>
      <c r="D10" s="28"/>
      <c r="E10" s="28"/>
      <c r="F10" s="28"/>
      <c r="G10" s="4" t="s">
        <v>8</v>
      </c>
      <c r="H10" s="3">
        <v>13</v>
      </c>
    </row>
    <row r="11" spans="1:8" x14ac:dyDescent="0.25">
      <c r="A11" s="28"/>
      <c r="B11" s="28"/>
      <c r="C11" s="28"/>
      <c r="D11" s="28"/>
      <c r="E11" s="28"/>
      <c r="F11" s="28"/>
      <c r="G11" s="4" t="s">
        <v>9</v>
      </c>
      <c r="H11" s="4"/>
    </row>
    <row r="12" spans="1:8" ht="31.2" x14ac:dyDescent="0.3">
      <c r="A12" s="17" t="s">
        <v>0</v>
      </c>
      <c r="B12" s="18"/>
      <c r="C12" s="18"/>
      <c r="D12" s="18"/>
      <c r="E12" s="18"/>
      <c r="F12" s="18"/>
      <c r="G12" s="25" t="s">
        <v>11</v>
      </c>
      <c r="H12" s="19" t="s">
        <v>12</v>
      </c>
    </row>
    <row r="13" spans="1:8" x14ac:dyDescent="0.25">
      <c r="A13" s="3">
        <v>1</v>
      </c>
      <c r="B13" s="15"/>
      <c r="C13" s="15"/>
      <c r="D13" s="16"/>
      <c r="E13" s="15"/>
      <c r="F13" s="15">
        <v>1</v>
      </c>
      <c r="G13" s="4" t="s">
        <v>14</v>
      </c>
      <c r="H13" s="4"/>
    </row>
    <row r="14" spans="1:8" x14ac:dyDescent="0.25">
      <c r="A14" s="3">
        <f>A13+1</f>
        <v>2</v>
      </c>
      <c r="B14" s="15"/>
      <c r="C14" s="15"/>
      <c r="D14" s="16">
        <v>1</v>
      </c>
      <c r="E14" s="15"/>
      <c r="F14" s="15"/>
      <c r="G14" s="4" t="s">
        <v>86</v>
      </c>
      <c r="H14" s="4"/>
    </row>
    <row r="15" spans="1:8" x14ac:dyDescent="0.25">
      <c r="A15" s="3">
        <f t="shared" ref="A15:A25" si="0">A14+1</f>
        <v>3</v>
      </c>
      <c r="B15" s="15">
        <v>1</v>
      </c>
      <c r="C15" s="15"/>
      <c r="D15" s="16"/>
      <c r="E15" s="15"/>
      <c r="F15" s="15"/>
      <c r="G15" s="4" t="s">
        <v>15</v>
      </c>
      <c r="H15" s="4"/>
    </row>
    <row r="16" spans="1:8" x14ac:dyDescent="0.25">
      <c r="A16" s="3">
        <f t="shared" si="0"/>
        <v>4</v>
      </c>
      <c r="B16" s="15"/>
      <c r="C16" s="15"/>
      <c r="D16" s="16">
        <v>2</v>
      </c>
      <c r="E16" s="15"/>
      <c r="F16" s="15"/>
      <c r="G16" s="4" t="s">
        <v>16</v>
      </c>
      <c r="H16" s="4"/>
    </row>
    <row r="17" spans="1:8" x14ac:dyDescent="0.25">
      <c r="A17" s="3">
        <f t="shared" si="0"/>
        <v>5</v>
      </c>
      <c r="B17" s="15">
        <v>2</v>
      </c>
      <c r="C17" s="15"/>
      <c r="D17" s="16"/>
      <c r="E17" s="15"/>
      <c r="F17" s="15"/>
      <c r="G17" s="4" t="s">
        <v>40</v>
      </c>
      <c r="H17" s="4"/>
    </row>
    <row r="18" spans="1:8" x14ac:dyDescent="0.25">
      <c r="A18" s="3">
        <f t="shared" si="0"/>
        <v>6</v>
      </c>
      <c r="B18" s="15"/>
      <c r="C18" s="15"/>
      <c r="D18" s="16">
        <v>3</v>
      </c>
      <c r="E18" s="15"/>
      <c r="F18" s="15"/>
      <c r="G18" s="4" t="s">
        <v>49</v>
      </c>
      <c r="H18" s="4"/>
    </row>
    <row r="19" spans="1:8" x14ac:dyDescent="0.25">
      <c r="A19" s="3">
        <f t="shared" si="0"/>
        <v>7</v>
      </c>
      <c r="B19" s="15">
        <v>3</v>
      </c>
      <c r="C19" s="15"/>
      <c r="D19" s="16"/>
      <c r="E19" s="15"/>
      <c r="F19" s="15"/>
      <c r="G19" s="4" t="s">
        <v>17</v>
      </c>
      <c r="H19" s="4"/>
    </row>
    <row r="20" spans="1:8" x14ac:dyDescent="0.25">
      <c r="A20" s="3">
        <f t="shared" si="0"/>
        <v>8</v>
      </c>
      <c r="B20" s="15"/>
      <c r="C20" s="15"/>
      <c r="D20" s="16">
        <v>4</v>
      </c>
      <c r="E20" s="15"/>
      <c r="F20" s="15"/>
      <c r="G20" s="4" t="s">
        <v>55</v>
      </c>
      <c r="H20" s="4"/>
    </row>
    <row r="21" spans="1:8" x14ac:dyDescent="0.25">
      <c r="A21" s="3">
        <f t="shared" si="0"/>
        <v>9</v>
      </c>
      <c r="B21" s="15">
        <v>4</v>
      </c>
      <c r="C21" s="15"/>
      <c r="D21" s="16"/>
      <c r="E21" s="15"/>
      <c r="F21" s="15"/>
      <c r="G21" s="4" t="s">
        <v>29</v>
      </c>
      <c r="H21" s="4"/>
    </row>
    <row r="22" spans="1:8" x14ac:dyDescent="0.25">
      <c r="A22" s="3">
        <f t="shared" si="0"/>
        <v>10</v>
      </c>
      <c r="B22" s="15"/>
      <c r="C22" s="15"/>
      <c r="D22" s="16">
        <v>5</v>
      </c>
      <c r="E22" s="15"/>
      <c r="F22" s="15"/>
      <c r="G22" s="4" t="s">
        <v>56</v>
      </c>
      <c r="H22" s="4"/>
    </row>
    <row r="23" spans="1:8" x14ac:dyDescent="0.25">
      <c r="A23" s="3">
        <f t="shared" si="0"/>
        <v>11</v>
      </c>
      <c r="B23" s="15">
        <v>5</v>
      </c>
      <c r="C23" s="15"/>
      <c r="D23" s="16"/>
      <c r="E23" s="15"/>
      <c r="F23" s="15"/>
      <c r="G23" s="4" t="s">
        <v>31</v>
      </c>
      <c r="H23" s="4"/>
    </row>
    <row r="24" spans="1:8" x14ac:dyDescent="0.25">
      <c r="A24" s="3">
        <f t="shared" si="0"/>
        <v>12</v>
      </c>
      <c r="B24" s="15"/>
      <c r="C24" s="15"/>
      <c r="D24" s="16">
        <v>6</v>
      </c>
      <c r="E24" s="15"/>
      <c r="F24" s="15"/>
      <c r="G24" s="4" t="s">
        <v>21</v>
      </c>
      <c r="H24" s="4"/>
    </row>
    <row r="25" spans="1:8" x14ac:dyDescent="0.25">
      <c r="A25" s="3">
        <f t="shared" si="0"/>
        <v>13</v>
      </c>
      <c r="B25" s="15"/>
      <c r="C25" s="15">
        <v>1</v>
      </c>
      <c r="D25" s="16"/>
      <c r="E25" s="15"/>
      <c r="F25" s="15"/>
      <c r="G25" s="4" t="s">
        <v>3</v>
      </c>
      <c r="H25" s="4"/>
    </row>
    <row r="26" spans="1:8" x14ac:dyDescent="0.25">
      <c r="A26" s="3">
        <f>A25+1</f>
        <v>14</v>
      </c>
      <c r="B26" s="15"/>
      <c r="C26" s="15"/>
      <c r="D26" s="16">
        <v>7</v>
      </c>
      <c r="E26" s="15"/>
      <c r="F26" s="15"/>
      <c r="G26" s="4" t="s">
        <v>64</v>
      </c>
      <c r="H26" s="4"/>
    </row>
    <row r="27" spans="1:8" x14ac:dyDescent="0.25">
      <c r="D27" s="26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D3DA-792E-4288-922D-E8EAB1D2E7A3}">
  <dimension ref="A1:H27"/>
  <sheetViews>
    <sheetView showWhiteSpace="0" view="pageLayout" zoomScale="85" zoomScaleNormal="100" zoomScalePageLayoutView="85" workbookViewId="0">
      <selection activeCell="H5" sqref="H5"/>
    </sheetView>
  </sheetViews>
  <sheetFormatPr defaultRowHeight="13.8" x14ac:dyDescent="0.25"/>
  <cols>
    <col min="1" max="1" width="5.44140625" style="1" bestFit="1" customWidth="1"/>
    <col min="2" max="2" width="6.6640625" style="1" customWidth="1"/>
    <col min="3" max="3" width="7.6640625" style="1" customWidth="1"/>
    <col min="4" max="4" width="7.77734375" style="1" customWidth="1"/>
    <col min="5" max="5" width="6.88671875" style="1" customWidth="1"/>
    <col min="6" max="6" width="6.44140625" style="1" customWidth="1"/>
    <col min="7" max="7" width="33.21875" style="1" customWidth="1"/>
    <col min="8" max="8" width="10.5546875" style="1" customWidth="1"/>
    <col min="9" max="16384" width="8.88671875" style="1"/>
  </cols>
  <sheetData>
    <row r="1" spans="1:8" ht="15.6" x14ac:dyDescent="0.3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" x14ac:dyDescent="0.25">
      <c r="A2" s="30" t="s">
        <v>65</v>
      </c>
      <c r="B2" s="31"/>
      <c r="C2" s="31"/>
      <c r="D2" s="31"/>
      <c r="E2" s="31"/>
      <c r="F2" s="32"/>
      <c r="G2" s="33" t="s">
        <v>2</v>
      </c>
      <c r="H2" s="33"/>
    </row>
    <row r="3" spans="1:8" ht="15.6" x14ac:dyDescent="0.3">
      <c r="A3" s="34" t="s">
        <v>92</v>
      </c>
      <c r="B3" s="34"/>
      <c r="C3" s="34"/>
      <c r="D3" s="34"/>
      <c r="E3" s="34"/>
      <c r="F3" s="34"/>
      <c r="G3" s="33"/>
      <c r="H3" s="33"/>
    </row>
    <row r="4" spans="1:8" ht="30" x14ac:dyDescent="0.25">
      <c r="A4" s="35" t="s">
        <v>63</v>
      </c>
      <c r="B4" s="35"/>
      <c r="C4" s="35"/>
      <c r="D4" s="35"/>
      <c r="E4" s="35"/>
      <c r="F4" s="35"/>
      <c r="G4" s="4"/>
      <c r="H4" s="5" t="s">
        <v>94</v>
      </c>
    </row>
    <row r="5" spans="1:8" ht="15" x14ac:dyDescent="0.25">
      <c r="A5" s="35"/>
      <c r="B5" s="35"/>
      <c r="C5" s="35"/>
      <c r="D5" s="35"/>
      <c r="E5" s="35"/>
      <c r="F5" s="35"/>
      <c r="G5" s="4" t="s">
        <v>3</v>
      </c>
      <c r="H5" s="3">
        <v>1</v>
      </c>
    </row>
    <row r="6" spans="1:8" ht="15" x14ac:dyDescent="0.25">
      <c r="A6" s="28" t="s">
        <v>1</v>
      </c>
      <c r="B6" s="28"/>
      <c r="C6" s="28"/>
      <c r="D6" s="28"/>
      <c r="E6" s="28"/>
      <c r="F6" s="28"/>
      <c r="G6" s="4" t="s">
        <v>4</v>
      </c>
      <c r="H6" s="3">
        <v>5</v>
      </c>
    </row>
    <row r="7" spans="1:8" ht="15" x14ac:dyDescent="0.25">
      <c r="A7" s="28"/>
      <c r="B7" s="28"/>
      <c r="C7" s="28"/>
      <c r="D7" s="28"/>
      <c r="E7" s="28"/>
      <c r="F7" s="28"/>
      <c r="G7" s="4" t="s">
        <v>5</v>
      </c>
      <c r="H7" s="3">
        <v>7</v>
      </c>
    </row>
    <row r="8" spans="1:8" ht="15" x14ac:dyDescent="0.25">
      <c r="A8" s="28" t="s">
        <v>10</v>
      </c>
      <c r="B8" s="28"/>
      <c r="C8" s="28"/>
      <c r="D8" s="28"/>
      <c r="E8" s="28"/>
      <c r="F8" s="28"/>
      <c r="G8" s="4" t="s">
        <v>6</v>
      </c>
      <c r="H8" s="3">
        <v>1</v>
      </c>
    </row>
    <row r="9" spans="1:8" ht="15" x14ac:dyDescent="0.25">
      <c r="A9" s="28"/>
      <c r="B9" s="28"/>
      <c r="C9" s="28"/>
      <c r="D9" s="28"/>
      <c r="E9" s="28"/>
      <c r="F9" s="28"/>
      <c r="G9" s="4" t="s">
        <v>7</v>
      </c>
      <c r="H9" s="3">
        <v>0</v>
      </c>
    </row>
    <row r="10" spans="1:8" ht="15" x14ac:dyDescent="0.25">
      <c r="A10" s="28"/>
      <c r="B10" s="28"/>
      <c r="C10" s="28"/>
      <c r="D10" s="28"/>
      <c r="E10" s="28"/>
      <c r="F10" s="28"/>
      <c r="G10" s="4" t="s">
        <v>8</v>
      </c>
      <c r="H10" s="3">
        <v>13</v>
      </c>
    </row>
    <row r="11" spans="1:8" ht="15" x14ac:dyDescent="0.25">
      <c r="A11" s="28"/>
      <c r="B11" s="28"/>
      <c r="C11" s="28"/>
      <c r="D11" s="28"/>
      <c r="E11" s="28"/>
      <c r="F11" s="28"/>
      <c r="G11" s="4" t="s">
        <v>9</v>
      </c>
      <c r="H11" s="4"/>
    </row>
    <row r="12" spans="1:8" ht="31.2" x14ac:dyDescent="0.3">
      <c r="A12" s="17" t="s">
        <v>0</v>
      </c>
      <c r="B12" s="18"/>
      <c r="C12" s="18"/>
      <c r="D12" s="18"/>
      <c r="E12" s="18"/>
      <c r="F12" s="18"/>
      <c r="G12" s="25" t="s">
        <v>11</v>
      </c>
      <c r="H12" s="19" t="s">
        <v>12</v>
      </c>
    </row>
    <row r="13" spans="1:8" ht="15" x14ac:dyDescent="0.25">
      <c r="A13" s="3">
        <v>1</v>
      </c>
      <c r="B13" s="12"/>
      <c r="C13" s="12"/>
      <c r="D13" s="27"/>
      <c r="E13" s="12"/>
      <c r="F13" s="27">
        <v>1</v>
      </c>
      <c r="G13" s="4" t="s">
        <v>14</v>
      </c>
      <c r="H13" s="4"/>
    </row>
    <row r="14" spans="1:8" ht="15" x14ac:dyDescent="0.25">
      <c r="A14" s="3">
        <f>A13+1</f>
        <v>2</v>
      </c>
      <c r="B14" s="12"/>
      <c r="C14" s="12"/>
      <c r="D14" s="27">
        <v>1</v>
      </c>
      <c r="E14" s="12"/>
      <c r="F14" s="12"/>
      <c r="G14" s="4" t="s">
        <v>86</v>
      </c>
      <c r="H14" s="4"/>
    </row>
    <row r="15" spans="1:8" ht="15" x14ac:dyDescent="0.25">
      <c r="A15" s="3">
        <f t="shared" ref="A15:A25" si="0">A14+1</f>
        <v>3</v>
      </c>
      <c r="B15" s="12">
        <v>1</v>
      </c>
      <c r="C15" s="12"/>
      <c r="D15" s="27"/>
      <c r="E15" s="12"/>
      <c r="F15" s="12"/>
      <c r="G15" s="4" t="s">
        <v>15</v>
      </c>
      <c r="H15" s="4"/>
    </row>
    <row r="16" spans="1:8" ht="15" x14ac:dyDescent="0.25">
      <c r="A16" s="3">
        <f t="shared" si="0"/>
        <v>4</v>
      </c>
      <c r="B16" s="12"/>
      <c r="C16" s="12"/>
      <c r="D16" s="27">
        <v>2</v>
      </c>
      <c r="E16" s="12"/>
      <c r="F16" s="12"/>
      <c r="G16" s="4" t="s">
        <v>67</v>
      </c>
      <c r="H16" s="4"/>
    </row>
    <row r="17" spans="1:8" ht="15" x14ac:dyDescent="0.25">
      <c r="A17" s="3">
        <f t="shared" si="0"/>
        <v>5</v>
      </c>
      <c r="B17" s="12">
        <v>2</v>
      </c>
      <c r="C17" s="12"/>
      <c r="D17" s="27"/>
      <c r="E17" s="12"/>
      <c r="F17" s="12"/>
      <c r="G17" s="4" t="s">
        <v>68</v>
      </c>
      <c r="H17" s="4"/>
    </row>
    <row r="18" spans="1:8" ht="15" x14ac:dyDescent="0.25">
      <c r="A18" s="3">
        <f t="shared" si="0"/>
        <v>6</v>
      </c>
      <c r="B18" s="12"/>
      <c r="C18" s="12"/>
      <c r="D18" s="27">
        <v>3</v>
      </c>
      <c r="E18" s="12"/>
      <c r="F18" s="12"/>
      <c r="G18" s="4" t="s">
        <v>69</v>
      </c>
      <c r="H18" s="4"/>
    </row>
    <row r="19" spans="1:8" ht="15" x14ac:dyDescent="0.25">
      <c r="A19" s="3">
        <f t="shared" si="0"/>
        <v>7</v>
      </c>
      <c r="B19" s="12">
        <v>3</v>
      </c>
      <c r="C19" s="12"/>
      <c r="D19" s="27"/>
      <c r="E19" s="12"/>
      <c r="F19" s="12"/>
      <c r="G19" s="4" t="s">
        <v>52</v>
      </c>
      <c r="H19" s="4"/>
    </row>
    <row r="20" spans="1:8" ht="15" x14ac:dyDescent="0.25">
      <c r="A20" s="3">
        <f t="shared" si="0"/>
        <v>8</v>
      </c>
      <c r="B20" s="12"/>
      <c r="C20" s="12"/>
      <c r="D20" s="27">
        <v>4</v>
      </c>
      <c r="E20" s="12"/>
      <c r="F20" s="12"/>
      <c r="G20" s="4" t="s">
        <v>70</v>
      </c>
      <c r="H20" s="4"/>
    </row>
    <row r="21" spans="1:8" ht="15" x14ac:dyDescent="0.25">
      <c r="A21" s="3">
        <f t="shared" si="0"/>
        <v>9</v>
      </c>
      <c r="B21" s="12">
        <v>4</v>
      </c>
      <c r="C21" s="12"/>
      <c r="D21" s="27"/>
      <c r="E21" s="12"/>
      <c r="F21" s="12"/>
      <c r="G21" s="4" t="s">
        <v>29</v>
      </c>
      <c r="H21" s="4"/>
    </row>
    <row r="22" spans="1:8" ht="15" x14ac:dyDescent="0.25">
      <c r="A22" s="3">
        <f t="shared" si="0"/>
        <v>10</v>
      </c>
      <c r="B22" s="12"/>
      <c r="C22" s="12"/>
      <c r="D22" s="27">
        <v>5</v>
      </c>
      <c r="E22" s="12"/>
      <c r="F22" s="12"/>
      <c r="G22" s="4" t="s">
        <v>71</v>
      </c>
      <c r="H22" s="4"/>
    </row>
    <row r="23" spans="1:8" ht="15" x14ac:dyDescent="0.25">
      <c r="A23" s="3">
        <f t="shared" si="0"/>
        <v>11</v>
      </c>
      <c r="B23" s="12">
        <v>5</v>
      </c>
      <c r="C23" s="12"/>
      <c r="D23" s="27"/>
      <c r="E23" s="12"/>
      <c r="F23" s="12"/>
      <c r="G23" s="4" t="s">
        <v>72</v>
      </c>
      <c r="H23" s="4"/>
    </row>
    <row r="24" spans="1:8" ht="15" x14ac:dyDescent="0.25">
      <c r="A24" s="3">
        <f t="shared" si="0"/>
        <v>12</v>
      </c>
      <c r="B24" s="12"/>
      <c r="C24" s="12"/>
      <c r="D24" s="27">
        <v>6</v>
      </c>
      <c r="E24" s="12"/>
      <c r="F24" s="12"/>
      <c r="G24" s="4" t="s">
        <v>21</v>
      </c>
      <c r="H24" s="4"/>
    </row>
    <row r="25" spans="1:8" ht="15" x14ac:dyDescent="0.25">
      <c r="A25" s="3">
        <f t="shared" si="0"/>
        <v>13</v>
      </c>
      <c r="B25" s="12"/>
      <c r="C25" s="12">
        <v>1</v>
      </c>
      <c r="D25" s="27"/>
      <c r="E25" s="12"/>
      <c r="F25" s="12"/>
      <c r="G25" s="4" t="s">
        <v>3</v>
      </c>
      <c r="H25" s="4"/>
    </row>
    <row r="26" spans="1:8" ht="15" x14ac:dyDescent="0.25">
      <c r="A26" s="3">
        <f>A25+1</f>
        <v>14</v>
      </c>
      <c r="B26" s="12"/>
      <c r="C26" s="12"/>
      <c r="D26" s="27">
        <v>7</v>
      </c>
      <c r="E26" s="12"/>
      <c r="F26" s="12"/>
      <c r="G26" s="4" t="s">
        <v>64</v>
      </c>
      <c r="H26" s="4"/>
    </row>
    <row r="27" spans="1:8" x14ac:dyDescent="0.25">
      <c r="D27" s="24"/>
    </row>
  </sheetData>
  <mergeCells count="7">
    <mergeCell ref="A8:F11"/>
    <mergeCell ref="A1:H1"/>
    <mergeCell ref="A2:F2"/>
    <mergeCell ref="G2:H3"/>
    <mergeCell ref="A3:F3"/>
    <mergeCell ref="A4:F5"/>
    <mergeCell ref="A6:F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2753-4A3B-4B05-A8A9-25E575081C99}">
  <dimension ref="A1:H26"/>
  <sheetViews>
    <sheetView view="pageLayout" zoomScaleNormal="100" workbookViewId="0">
      <selection activeCell="G6" sqref="G6"/>
    </sheetView>
  </sheetViews>
  <sheetFormatPr defaultRowHeight="15" x14ac:dyDescent="0.25"/>
  <cols>
    <col min="1" max="1" width="5.44140625" style="11" bestFit="1" customWidth="1"/>
    <col min="2" max="2" width="5" style="11" customWidth="1"/>
    <col min="3" max="3" width="6.21875" style="11" customWidth="1"/>
    <col min="4" max="4" width="7.21875" style="11" customWidth="1"/>
    <col min="5" max="5" width="6.21875" style="11" customWidth="1"/>
    <col min="6" max="6" width="8" style="11" customWidth="1"/>
    <col min="7" max="7" width="33.109375" style="11" customWidth="1"/>
    <col min="8" max="8" width="15.6640625" style="11" customWidth="1"/>
    <col min="9" max="16384" width="8.88671875" style="11"/>
  </cols>
  <sheetData>
    <row r="1" spans="1:8" ht="15.6" x14ac:dyDescent="0.3">
      <c r="A1" s="29" t="s">
        <v>13</v>
      </c>
      <c r="B1" s="29"/>
      <c r="C1" s="29"/>
      <c r="D1" s="29"/>
      <c r="E1" s="29"/>
      <c r="F1" s="29"/>
      <c r="G1" s="29"/>
      <c r="H1" s="29"/>
    </row>
    <row r="2" spans="1:8" x14ac:dyDescent="0.25">
      <c r="A2" s="30" t="s">
        <v>65</v>
      </c>
      <c r="B2" s="31"/>
      <c r="C2" s="31"/>
      <c r="D2" s="31"/>
      <c r="E2" s="31"/>
      <c r="F2" s="32"/>
      <c r="G2" s="33" t="s">
        <v>2</v>
      </c>
      <c r="H2" s="33"/>
    </row>
    <row r="3" spans="1:8" ht="15.6" x14ac:dyDescent="0.3">
      <c r="A3" s="34" t="s">
        <v>93</v>
      </c>
      <c r="B3" s="34"/>
      <c r="C3" s="34"/>
      <c r="D3" s="34"/>
      <c r="E3" s="34"/>
      <c r="F3" s="34"/>
      <c r="G3" s="33"/>
      <c r="H3" s="33"/>
    </row>
    <row r="4" spans="1:8" x14ac:dyDescent="0.25">
      <c r="A4" s="35" t="s">
        <v>63</v>
      </c>
      <c r="B4" s="35"/>
      <c r="C4" s="35"/>
      <c r="D4" s="35"/>
      <c r="E4" s="35"/>
      <c r="F4" s="35"/>
      <c r="G4" s="4"/>
      <c r="H4" s="5" t="s">
        <v>103</v>
      </c>
    </row>
    <row r="5" spans="1:8" x14ac:dyDescent="0.25">
      <c r="A5" s="35"/>
      <c r="B5" s="35"/>
      <c r="C5" s="35"/>
      <c r="D5" s="35"/>
      <c r="E5" s="35"/>
      <c r="F5" s="35"/>
      <c r="G5" s="4" t="s">
        <v>3</v>
      </c>
      <c r="H5" s="3">
        <v>1</v>
      </c>
    </row>
    <row r="6" spans="1:8" x14ac:dyDescent="0.25">
      <c r="A6" s="28" t="s">
        <v>1</v>
      </c>
      <c r="B6" s="28"/>
      <c r="C6" s="28"/>
      <c r="D6" s="28"/>
      <c r="E6" s="28"/>
      <c r="F6" s="28"/>
      <c r="G6" s="4" t="s">
        <v>4</v>
      </c>
      <c r="H6" s="3">
        <v>5</v>
      </c>
    </row>
    <row r="7" spans="1:8" x14ac:dyDescent="0.25">
      <c r="A7" s="28"/>
      <c r="B7" s="28"/>
      <c r="C7" s="28"/>
      <c r="D7" s="28"/>
      <c r="E7" s="28"/>
      <c r="F7" s="28"/>
      <c r="G7" s="4" t="s">
        <v>5</v>
      </c>
      <c r="H7" s="3">
        <v>7</v>
      </c>
    </row>
    <row r="8" spans="1:8" x14ac:dyDescent="0.25">
      <c r="A8" s="28" t="s">
        <v>10</v>
      </c>
      <c r="B8" s="28"/>
      <c r="C8" s="28"/>
      <c r="D8" s="28"/>
      <c r="E8" s="28"/>
      <c r="F8" s="28"/>
      <c r="G8" s="4" t="s">
        <v>6</v>
      </c>
      <c r="H8" s="3">
        <v>1</v>
      </c>
    </row>
    <row r="9" spans="1:8" x14ac:dyDescent="0.25">
      <c r="A9" s="28"/>
      <c r="B9" s="28"/>
      <c r="C9" s="28"/>
      <c r="D9" s="28"/>
      <c r="E9" s="28"/>
      <c r="F9" s="28"/>
      <c r="G9" s="4" t="s">
        <v>7</v>
      </c>
      <c r="H9" s="3">
        <v>0</v>
      </c>
    </row>
    <row r="10" spans="1:8" x14ac:dyDescent="0.25">
      <c r="A10" s="28"/>
      <c r="B10" s="28"/>
      <c r="C10" s="28"/>
      <c r="D10" s="28"/>
      <c r="E10" s="28"/>
      <c r="F10" s="28"/>
      <c r="G10" s="4" t="s">
        <v>8</v>
      </c>
      <c r="H10" s="3">
        <v>13</v>
      </c>
    </row>
    <row r="11" spans="1:8" x14ac:dyDescent="0.25">
      <c r="A11" s="28"/>
      <c r="B11" s="28"/>
      <c r="C11" s="28"/>
      <c r="D11" s="28"/>
      <c r="E11" s="28"/>
      <c r="F11" s="28"/>
      <c r="G11" s="4" t="s">
        <v>9</v>
      </c>
      <c r="H11" s="4"/>
    </row>
    <row r="12" spans="1:8" ht="31.2" x14ac:dyDescent="0.3">
      <c r="A12" s="17" t="s">
        <v>0</v>
      </c>
      <c r="B12" s="18"/>
      <c r="C12" s="18"/>
      <c r="D12" s="18"/>
      <c r="E12" s="18"/>
      <c r="F12" s="18"/>
      <c r="G12" s="25" t="s">
        <v>11</v>
      </c>
      <c r="H12" s="19" t="s">
        <v>12</v>
      </c>
    </row>
    <row r="13" spans="1:8" x14ac:dyDescent="0.25">
      <c r="A13" s="3">
        <v>1</v>
      </c>
      <c r="B13" s="15"/>
      <c r="C13" s="13"/>
      <c r="D13" s="16"/>
      <c r="E13" s="13"/>
      <c r="F13" s="15">
        <v>1</v>
      </c>
      <c r="G13" s="4" t="s">
        <v>14</v>
      </c>
      <c r="H13" s="4"/>
    </row>
    <row r="14" spans="1:8" x14ac:dyDescent="0.25">
      <c r="A14" s="3">
        <f>A13+1</f>
        <v>2</v>
      </c>
      <c r="B14" s="15"/>
      <c r="C14" s="13"/>
      <c r="D14" s="16">
        <v>1</v>
      </c>
      <c r="E14" s="13"/>
      <c r="F14" s="13"/>
      <c r="G14" s="4" t="s">
        <v>86</v>
      </c>
      <c r="H14" s="4"/>
    </row>
    <row r="15" spans="1:8" x14ac:dyDescent="0.25">
      <c r="A15" s="3">
        <f t="shared" ref="A15:A25" si="0">A14+1</f>
        <v>3</v>
      </c>
      <c r="B15" s="15">
        <v>1</v>
      </c>
      <c r="C15" s="13"/>
      <c r="D15" s="16"/>
      <c r="E15" s="13"/>
      <c r="F15" s="13"/>
      <c r="G15" s="4" t="s">
        <v>15</v>
      </c>
      <c r="H15" s="4"/>
    </row>
    <row r="16" spans="1:8" x14ac:dyDescent="0.25">
      <c r="A16" s="3">
        <f t="shared" si="0"/>
        <v>4</v>
      </c>
      <c r="B16" s="15"/>
      <c r="C16" s="13"/>
      <c r="D16" s="16">
        <v>2</v>
      </c>
      <c r="E16" s="13"/>
      <c r="F16" s="13"/>
      <c r="G16" s="4" t="s">
        <v>73</v>
      </c>
      <c r="H16" s="4"/>
    </row>
    <row r="17" spans="1:8" x14ac:dyDescent="0.25">
      <c r="A17" s="3">
        <f t="shared" si="0"/>
        <v>5</v>
      </c>
      <c r="B17" s="15">
        <v>2</v>
      </c>
      <c r="C17" s="13"/>
      <c r="D17" s="16"/>
      <c r="E17" s="13"/>
      <c r="F17" s="13"/>
      <c r="G17" s="4" t="s">
        <v>68</v>
      </c>
      <c r="H17" s="4"/>
    </row>
    <row r="18" spans="1:8" x14ac:dyDescent="0.25">
      <c r="A18" s="3">
        <f t="shared" si="0"/>
        <v>6</v>
      </c>
      <c r="B18" s="15"/>
      <c r="C18" s="13"/>
      <c r="D18" s="16">
        <v>3</v>
      </c>
      <c r="E18" s="13"/>
      <c r="F18" s="13"/>
      <c r="G18" s="4" t="s">
        <v>74</v>
      </c>
      <c r="H18" s="4"/>
    </row>
    <row r="19" spans="1:8" x14ac:dyDescent="0.25">
      <c r="A19" s="3">
        <f t="shared" si="0"/>
        <v>7</v>
      </c>
      <c r="B19" s="15">
        <v>3</v>
      </c>
      <c r="C19" s="13"/>
      <c r="D19" s="16"/>
      <c r="E19" s="13"/>
      <c r="F19" s="13"/>
      <c r="G19" s="4" t="s">
        <v>75</v>
      </c>
      <c r="H19" s="4"/>
    </row>
    <row r="20" spans="1:8" x14ac:dyDescent="0.25">
      <c r="A20" s="3">
        <f t="shared" si="0"/>
        <v>8</v>
      </c>
      <c r="B20" s="15"/>
      <c r="C20" s="13"/>
      <c r="D20" s="16">
        <v>4</v>
      </c>
      <c r="E20" s="13"/>
      <c r="F20" s="13"/>
      <c r="G20" s="4" t="s">
        <v>70</v>
      </c>
      <c r="H20" s="4"/>
    </row>
    <row r="21" spans="1:8" x14ac:dyDescent="0.25">
      <c r="A21" s="3">
        <f t="shared" si="0"/>
        <v>9</v>
      </c>
      <c r="B21" s="15">
        <v>4</v>
      </c>
      <c r="C21" s="13"/>
      <c r="D21" s="16"/>
      <c r="E21" s="13"/>
      <c r="F21" s="13"/>
      <c r="G21" s="4" t="s">
        <v>29</v>
      </c>
      <c r="H21" s="4"/>
    </row>
    <row r="22" spans="1:8" x14ac:dyDescent="0.25">
      <c r="A22" s="3">
        <f t="shared" si="0"/>
        <v>10</v>
      </c>
      <c r="B22" s="15"/>
      <c r="C22" s="13"/>
      <c r="D22" s="16">
        <v>5</v>
      </c>
      <c r="E22" s="13"/>
      <c r="F22" s="13"/>
      <c r="G22" s="4" t="s">
        <v>32</v>
      </c>
      <c r="H22" s="4"/>
    </row>
    <row r="23" spans="1:8" x14ac:dyDescent="0.25">
      <c r="A23" s="3">
        <f t="shared" si="0"/>
        <v>11</v>
      </c>
      <c r="B23" s="15">
        <v>5</v>
      </c>
      <c r="C23" s="13"/>
      <c r="D23" s="16"/>
      <c r="E23" s="13"/>
      <c r="F23" s="13"/>
      <c r="G23" s="4" t="s">
        <v>76</v>
      </c>
      <c r="H23" s="4"/>
    </row>
    <row r="24" spans="1:8" x14ac:dyDescent="0.25">
      <c r="A24" s="3">
        <f t="shared" si="0"/>
        <v>12</v>
      </c>
      <c r="B24" s="15"/>
      <c r="C24" s="13"/>
      <c r="D24" s="16">
        <v>6</v>
      </c>
      <c r="E24" s="13"/>
      <c r="F24" s="13"/>
      <c r="G24" s="4" t="s">
        <v>77</v>
      </c>
      <c r="H24" s="4"/>
    </row>
    <row r="25" spans="1:8" x14ac:dyDescent="0.25">
      <c r="A25" s="3">
        <f t="shared" si="0"/>
        <v>13</v>
      </c>
      <c r="B25" s="15"/>
      <c r="C25" s="14">
        <v>1</v>
      </c>
      <c r="D25" s="16"/>
      <c r="E25" s="13"/>
      <c r="F25" s="13"/>
      <c r="G25" s="4" t="s">
        <v>78</v>
      </c>
      <c r="H25" s="4"/>
    </row>
    <row r="26" spans="1:8" x14ac:dyDescent="0.25">
      <c r="A26" s="3">
        <f>A25+1</f>
        <v>14</v>
      </c>
      <c r="B26" s="15"/>
      <c r="C26" s="13"/>
      <c r="D26" s="16">
        <v>7</v>
      </c>
      <c r="E26" s="13"/>
      <c r="F26" s="13"/>
      <c r="G26" s="4" t="s">
        <v>64</v>
      </c>
      <c r="H26" s="4"/>
    </row>
  </sheetData>
  <mergeCells count="7">
    <mergeCell ref="A8:F11"/>
    <mergeCell ref="A1:H1"/>
    <mergeCell ref="A2:F2"/>
    <mergeCell ref="G2:H3"/>
    <mergeCell ref="A3:F3"/>
    <mergeCell ref="A4:F5"/>
    <mergeCell ref="A6:F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6</vt:lpstr>
      <vt:lpstr>3</vt:lpstr>
      <vt:lpstr>2</vt:lpstr>
      <vt:lpstr>5</vt:lpstr>
      <vt:lpstr>1</vt:lpstr>
      <vt:lpstr>12</vt:lpstr>
      <vt:lpstr>4</vt:lpstr>
      <vt:lpstr>11</vt:lpstr>
      <vt:lpstr>9</vt:lpstr>
      <vt:lpstr>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cp:lastPrinted>2026-04-29T20:44:28Z</cp:lastPrinted>
  <dcterms:created xsi:type="dcterms:W3CDTF">2026-02-03T09:23:56Z</dcterms:created>
  <dcterms:modified xsi:type="dcterms:W3CDTF">2026-05-25T20:16:33Z</dcterms:modified>
</cp:coreProperties>
</file>