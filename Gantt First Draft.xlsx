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mc:AlternateContent xmlns:mc="http://schemas.openxmlformats.org/markup-compatibility/2006">
    <mc:Choice Requires="x15">
      <x15ac:absPath xmlns:x15ac="http://schemas.microsoft.com/office/spreadsheetml/2010/11/ac" url="C:\Users\Christy Moodley\Desktop\FAM26\OTHER\"/>
    </mc:Choice>
  </mc:AlternateContent>
  <xr:revisionPtr revIDLastSave="0" documentId="13_ncr:1_{5D792C5D-23C1-441D-90D6-9BC55467E17D}" xr6:coauthVersionLast="47" xr6:coauthVersionMax="47" xr10:uidLastSave="{00000000-0000-0000-0000-000000000000}"/>
  <bookViews>
    <workbookView xWindow="-108" yWindow="-108" windowWidth="23256" windowHeight="12576" xr2:uid="{00000000-000D-0000-FFFF-FFFF00000000}"/>
  </bookViews>
  <sheets>
    <sheet name="Project schedule" sheetId="11" r:id="rId1"/>
  </sheets>
  <definedNames>
    <definedName name="Display_Week">'Project schedule'!$O$2</definedName>
    <definedName name="_xlnm.Print_Titles" localSheetId="0">'Project schedule'!$4:$6</definedName>
    <definedName name="Project_Start">'Project schedule'!$O$1</definedName>
    <definedName name="task_end" localSheetId="0">'Project schedule'!$D1</definedName>
    <definedName name="task_progress" localSheetId="0">'Project schedule'!#REF!</definedName>
    <definedName name="task_start" localSheetId="0">'Project schedule'!$C1</definedName>
    <definedName name="today" localSheetId="0">TODAY()</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9" i="11" l="1"/>
  <c r="F7" i="11"/>
  <c r="C10" i="11" l="1"/>
  <c r="D10" i="11" s="1"/>
  <c r="F42" i="11"/>
  <c r="F41" i="11"/>
  <c r="F27" i="11"/>
  <c r="F22" i="11"/>
  <c r="F15" i="11"/>
  <c r="F8" i="11"/>
  <c r="F9" i="11" l="1"/>
  <c r="C11" i="11"/>
  <c r="D11" i="11" s="1"/>
  <c r="F31" i="11" l="1"/>
  <c r="F10" i="11"/>
  <c r="C12" i="11"/>
  <c r="D12" i="11" s="1"/>
  <c r="C13" i="11" s="1"/>
  <c r="D13" i="11" s="1"/>
  <c r="C16" i="11" s="1"/>
  <c r="D16" i="11" s="1"/>
  <c r="C17" i="11" s="1"/>
  <c r="D17" i="11" s="1"/>
  <c r="F13" i="11" l="1"/>
  <c r="F16" i="11"/>
  <c r="F17" i="11"/>
  <c r="C18" i="11"/>
  <c r="D18" i="11" s="1"/>
  <c r="C19" i="11" s="1"/>
  <c r="D19" i="11" s="1"/>
  <c r="C20" i="11" s="1"/>
  <c r="D20" i="11" s="1"/>
  <c r="C23" i="11" s="1"/>
  <c r="F11" i="11"/>
  <c r="F12" i="11"/>
  <c r="D23" i="11" l="1"/>
  <c r="C24" i="11" s="1"/>
  <c r="F23" i="11"/>
  <c r="F20" i="11"/>
  <c r="F19" i="11"/>
  <c r="F18" i="11"/>
  <c r="C25" i="11" l="1"/>
  <c r="D24" i="11"/>
  <c r="F24" i="11" s="1"/>
  <c r="D25" i="11" l="1"/>
  <c r="C26" i="11" s="1"/>
  <c r="D26" i="11" s="1"/>
  <c r="F26" i="11" l="1"/>
  <c r="C28" i="11"/>
  <c r="F25" i="11"/>
  <c r="C29" i="11" l="1"/>
  <c r="D28" i="11"/>
  <c r="F28" i="11"/>
  <c r="D29" i="11" l="1"/>
  <c r="F29" i="11" s="1"/>
  <c r="C30" i="11"/>
  <c r="D30" i="11" l="1"/>
  <c r="C32" i="11" s="1"/>
  <c r="F30" i="11"/>
  <c r="D32" i="11" l="1"/>
  <c r="C33" i="11" s="1"/>
  <c r="D33" i="11" s="1"/>
  <c r="C34" i="11" s="1"/>
  <c r="D34" i="11" s="1"/>
  <c r="C35" i="11" s="1"/>
  <c r="D35" i="11" s="1"/>
  <c r="C36" i="11" s="1"/>
  <c r="D36" i="11" s="1"/>
  <c r="C37" i="11" s="1"/>
  <c r="D37" i="11" s="1"/>
  <c r="C38" i="11" s="1"/>
  <c r="D38" i="11" s="1"/>
  <c r="C39" i="11" s="1"/>
  <c r="D39" i="11" s="1"/>
  <c r="F32" i="11"/>
</calcChain>
</file>

<file path=xl/sharedStrings.xml><?xml version="1.0" encoding="utf-8"?>
<sst xmlns="http://schemas.openxmlformats.org/spreadsheetml/2006/main" count="54" uniqueCount="49">
  <si>
    <t>TASK</t>
  </si>
  <si>
    <t xml:space="preserve">Do not delete this row. This row is hidden to preserve a formula that is used to highlight the current day within the project schedule. </t>
  </si>
  <si>
    <t>Project start:</t>
  </si>
  <si>
    <t>Display week:</t>
  </si>
  <si>
    <t>Project Schedule Planning</t>
  </si>
  <si>
    <t xml:space="preserve"> General Assembly Drawing / Exploded View</t>
  </si>
  <si>
    <t>Parts List (BOM) with Make-or-Buy Decision</t>
  </si>
  <si>
    <t>Manufacturing Drawings of All Components</t>
  </si>
  <si>
    <t>Business &amp; Financial Plan</t>
  </si>
  <si>
    <t>Part 1</t>
  </si>
  <si>
    <t>Part 2</t>
  </si>
  <si>
    <t>Material Flow Pattern (at least 2)</t>
  </si>
  <si>
    <t>Evaluation Criteria &amp; Design Evaluation Sheets</t>
  </si>
  <si>
    <t>Process Charts &amp; Flow Diagrams</t>
  </si>
  <si>
    <t>Assembly Chart / Operation Process Chart</t>
  </si>
  <si>
    <t>Production Routings/ Spread Sheets (x2) / Production Style</t>
  </si>
  <si>
    <t>Part 3</t>
  </si>
  <si>
    <t>ACTIVITY RELATIONSHIP CHART / A.R. WORK SHEET / DIAGRAM</t>
  </si>
  <si>
    <t>RECEIVING / STORES / WAREHOUSE / SHIPPING</t>
  </si>
  <si>
    <t xml:space="preserve">  • Data Collection</t>
  </si>
  <si>
    <t xml:space="preserve">  • Size &amp; Layout Planning</t>
  </si>
  <si>
    <t>FACILITIES PLANNING:</t>
  </si>
  <si>
    <t xml:space="preserve">  • Offices / Maintenance / Toolroom</t>
  </si>
  <si>
    <t xml:space="preserve">  • Cafeteria / Medical Room</t>
  </si>
  <si>
    <t xml:space="preserve">  • Locker Room &amp; Toilets</t>
  </si>
  <si>
    <t>OPERATIONS (PRODUCTION):</t>
  </si>
  <si>
    <t xml:space="preserve">  • Workplace/Workstation Design</t>
  </si>
  <si>
    <t xml:space="preserve">  • Layouts of Production Lines with Material Flow</t>
  </si>
  <si>
    <t xml:space="preserve">  • Time Standards (Modapts) &amp; Line Balancing</t>
  </si>
  <si>
    <t>TOTAL SPACE REQUIREMENT SUMMARY SHEET</t>
  </si>
  <si>
    <t>LAYOUT CONSTRUCTION - FIRST DRAFT</t>
  </si>
  <si>
    <t xml:space="preserve">  • Detailed factory layout with material flow lines</t>
  </si>
  <si>
    <t xml:space="preserve"> PART 3 FIRST DRAFT COMPLETION (13 June 2026)</t>
  </si>
  <si>
    <t>LAYOUT CONSTRUCTION - FINAL SUBMISSION</t>
  </si>
  <si>
    <t>Part 1 Submission</t>
  </si>
  <si>
    <t>Milestone</t>
  </si>
  <si>
    <t>MILESTONE</t>
  </si>
  <si>
    <t>Part 2 Submission</t>
  </si>
  <si>
    <t>Part 3 First Draft</t>
  </si>
  <si>
    <t>Final Project Submission</t>
  </si>
  <si>
    <t>FINAL MILESTONE</t>
  </si>
  <si>
    <t>HYDROFORCE INDUSTRIES (PTY) LTD</t>
  </si>
  <si>
    <t>Project lead: Fadeel Phillips</t>
  </si>
  <si>
    <t>START DATE</t>
  </si>
  <si>
    <t>END DATE</t>
  </si>
  <si>
    <t>DURATION (WEEKS)</t>
  </si>
  <si>
    <t>SUBMISSION 1</t>
  </si>
  <si>
    <t>SUBMISSION 2</t>
  </si>
  <si>
    <t>SUBMISSION 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</si>
</sst>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_(* #,##0.00_);_(* \(#,##0.00\);_(* &quot;-&quot;??_);_(@_)"/>
    <numFmt numFmtId="165" formatCode="m/d/yy;@"/>
    <numFmt numFmtId="166" formatCode="ddd\,\ m/d/yyyy"/>
    <numFmt numFmtId="167" formatCode="mmm\ d\,\ yyyy"/>
    <numFmt numFmtId="168" formatCode="d"/>
  </numFmts>
  <fonts count="23" x14ac:knownFonts="1">
    <font>
      <sz val="11"/>
      <color theme="1"/>
      <name val="Arial"/>
      <family val="2"/>
      <scheme val="minor"/>
    </font>
    <font>
      <sz val="10"/>
      <name val="Arial"/>
      <family val="2"/>
      <scheme val="minor"/>
    </font>
    <font>
      <u/>
      <sz val="11"/>
      <color indexed="12"/>
      <name val="Arial"/>
      <family val="2"/>
    </font>
    <font>
      <sz val="11"/>
      <name val="Arial"/>
      <family val="2"/>
      <scheme val="minor"/>
    </font>
    <font>
      <sz val="11"/>
      <color theme="1"/>
      <name val="Arial"/>
      <family val="2"/>
      <scheme val="minor"/>
    </font>
    <font>
      <sz val="14"/>
      <color theme="1"/>
      <name val="Arial"/>
      <family val="2"/>
      <scheme val="minor"/>
    </font>
    <font>
      <b/>
      <sz val="22"/>
      <color theme="1" tint="0.34998626667073579"/>
      <name val="Arial Black"/>
      <family val="2"/>
      <scheme val="major"/>
    </font>
    <font>
      <sz val="11"/>
      <color theme="0"/>
      <name val="Arial"/>
      <family val="2"/>
      <scheme val="minor"/>
    </font>
    <font>
      <sz val="10"/>
      <name val="Arial"/>
      <family val="2"/>
    </font>
    <font>
      <sz val="11"/>
      <color theme="1"/>
      <name val="Arial"/>
      <family val="2"/>
    </font>
    <font>
      <sz val="16"/>
      <color theme="1"/>
      <name val="Arial"/>
      <family val="2"/>
      <scheme val="minor"/>
    </font>
    <font>
      <b/>
      <sz val="11"/>
      <name val="Arial"/>
      <family val="2"/>
      <scheme val="minor"/>
    </font>
    <font>
      <sz val="10"/>
      <color theme="1"/>
      <name val="Arial"/>
      <family val="2"/>
      <scheme val="minor"/>
    </font>
    <font>
      <b/>
      <sz val="10"/>
      <color theme="1"/>
      <name val="Arial"/>
      <family val="2"/>
      <scheme val="minor"/>
    </font>
    <font>
      <b/>
      <sz val="8"/>
      <name val="Arial"/>
      <family val="2"/>
      <scheme val="minor"/>
    </font>
    <font>
      <b/>
      <sz val="8"/>
      <color theme="1"/>
      <name val="Arial"/>
      <family val="2"/>
      <scheme val="minor"/>
    </font>
    <font>
      <b/>
      <sz val="12"/>
      <color theme="1"/>
      <name val="Arial"/>
      <family val="2"/>
      <scheme val="minor"/>
    </font>
    <font>
      <i/>
      <sz val="10"/>
      <color theme="1"/>
      <name val="Arial"/>
      <family val="2"/>
      <scheme val="minor"/>
    </font>
    <font>
      <sz val="10"/>
      <color theme="1" tint="0.499984740745262"/>
      <name val="Arial"/>
      <family val="2"/>
      <scheme val="minor"/>
    </font>
    <font>
      <b/>
      <sz val="16"/>
      <color theme="9"/>
      <name val="Arial"/>
      <family val="2"/>
      <scheme val="minor"/>
    </font>
    <font>
      <b/>
      <sz val="16"/>
      <color theme="9"/>
      <name val="Arial Black"/>
      <family val="2"/>
      <scheme val="major"/>
    </font>
    <font>
      <sz val="11"/>
      <color theme="1"/>
      <name val="Arial Black"/>
      <family val="2"/>
      <scheme val="major"/>
    </font>
    <font>
      <b/>
      <sz val="20"/>
      <color theme="9"/>
      <name val="Arial Black"/>
      <family val="2"/>
      <scheme val="major"/>
    </font>
  </fonts>
  <fills count="13">
    <fill>
      <patternFill patternType="none"/>
    </fill>
    <fill>
      <patternFill patternType="gray125"/>
    </fill>
    <fill>
      <patternFill patternType="solid">
        <fgColor theme="0" tint="-4.9989318521683403E-2"/>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6" tint="0.79998168889431442"/>
        <bgColor indexed="64"/>
      </patternFill>
    </fill>
    <fill>
      <patternFill patternType="solid">
        <fgColor theme="4" tint="0.59996337778862885"/>
        <bgColor indexed="64"/>
      </patternFill>
    </fill>
    <fill>
      <patternFill patternType="solid">
        <fgColor theme="5" tint="0.59996337778862885"/>
        <bgColor indexed="64"/>
      </patternFill>
    </fill>
    <fill>
      <patternFill patternType="solid">
        <fgColor theme="6" tint="0.59996337778862885"/>
        <bgColor indexed="64"/>
      </patternFill>
    </fill>
    <fill>
      <patternFill patternType="solid">
        <fgColor theme="8" tint="0.59996337778862885"/>
        <bgColor indexed="64"/>
      </patternFill>
    </fill>
    <fill>
      <patternFill patternType="solid">
        <fgColor theme="8" tint="0.79998168889431442"/>
        <bgColor indexed="64"/>
      </patternFill>
    </fill>
    <fill>
      <patternFill patternType="solid">
        <fgColor theme="0" tint="-4.9989318521683403E-2"/>
        <bgColor theme="4"/>
      </patternFill>
    </fill>
    <fill>
      <patternFill patternType="solid">
        <fgColor theme="0" tint="-0.14996795556505021"/>
        <bgColor indexed="64"/>
      </patternFill>
    </fill>
  </fills>
  <borders count="23">
    <border>
      <left/>
      <right/>
      <top/>
      <bottom/>
      <diagonal/>
    </border>
    <border>
      <left/>
      <right/>
      <top style="medium">
        <color theme="0" tint="-0.14996795556505021"/>
      </top>
      <bottom style="medium">
        <color theme="0" tint="-0.14996795556505021"/>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14993743705557422"/>
      </left>
      <right style="thin">
        <color theme="0" tint="-0.14993743705557422"/>
      </right>
      <top/>
      <bottom/>
      <diagonal/>
    </border>
    <border>
      <left style="thin">
        <color theme="0" tint="-4.9989318521683403E-2"/>
      </left>
      <right style="thin">
        <color theme="0" tint="-4.9989318521683403E-2"/>
      </right>
      <top style="thin">
        <color theme="0" tint="-4.9989318521683403E-2"/>
      </top>
      <bottom style="thin">
        <color theme="0" tint="-4.9989318521683403E-2"/>
      </bottom>
      <diagonal/>
    </border>
    <border>
      <left/>
      <right/>
      <top style="thin">
        <color theme="5" tint="0.59996337778862885"/>
      </top>
      <bottom style="thin">
        <color theme="5" tint="0.59996337778862885"/>
      </bottom>
      <diagonal/>
    </border>
    <border>
      <left/>
      <right/>
      <top/>
      <bottom style="thin">
        <color theme="4" tint="0.59996337778862885"/>
      </bottom>
      <diagonal/>
    </border>
    <border>
      <left/>
      <right/>
      <top style="thin">
        <color theme="4" tint="0.59996337778862885"/>
      </top>
      <bottom style="thin">
        <color theme="4" tint="0.59996337778862885"/>
      </bottom>
      <diagonal/>
    </border>
    <border>
      <left/>
      <right/>
      <top style="thin">
        <color theme="6" tint="0.59996337778862885"/>
      </top>
      <bottom style="thin">
        <color theme="6" tint="0.59996337778862885"/>
      </bottom>
      <diagonal/>
    </border>
    <border>
      <left/>
      <right/>
      <top style="thin">
        <color theme="8" tint="0.59996337778862885"/>
      </top>
      <bottom style="thin">
        <color theme="8" tint="0.59996337778862885"/>
      </bottom>
      <diagonal/>
    </border>
    <border>
      <left/>
      <right/>
      <top style="thin">
        <color theme="0" tint="-4.9989318521683403E-2"/>
      </top>
      <bottom style="thin">
        <color theme="0" tint="-4.9989318521683403E-2"/>
      </bottom>
      <diagonal/>
    </border>
    <border>
      <left/>
      <right/>
      <top/>
      <bottom style="thin">
        <color theme="0" tint="-4.9989318521683403E-2"/>
      </bottom>
      <diagonal/>
    </border>
    <border>
      <left/>
      <right/>
      <top style="thin">
        <color theme="0" tint="-4.9989318521683403E-2"/>
      </top>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1" tint="0.499984740745262"/>
      </left>
      <right style="thin">
        <color theme="1" tint="0.499984740745262"/>
      </right>
      <top style="thin">
        <color theme="1" tint="0.499984740745262"/>
      </top>
      <bottom/>
      <diagonal/>
    </border>
    <border>
      <left style="thin">
        <color theme="1" tint="0.499984740745262"/>
      </left>
      <right/>
      <top style="thin">
        <color theme="1" tint="0.499984740745262"/>
      </top>
      <bottom/>
      <diagonal/>
    </border>
    <border>
      <left/>
      <right/>
      <top style="thin">
        <color theme="1" tint="0.499984740745262"/>
      </top>
      <bottom/>
      <diagonal/>
    </border>
    <border>
      <left/>
      <right style="thin">
        <color theme="1" tint="0.499984740745262"/>
      </right>
      <top style="thin">
        <color theme="1" tint="0.499984740745262"/>
      </top>
      <bottom/>
      <diagonal/>
    </border>
    <border>
      <left/>
      <right style="thin">
        <color theme="1" tint="0.499984740745262"/>
      </right>
      <top style="thin">
        <color theme="1" tint="0.499984740745262"/>
      </top>
      <bottom style="thin">
        <color theme="1" tint="0.499984740745262"/>
      </bottom>
      <diagonal/>
    </border>
    <border>
      <left style="thin">
        <color theme="1" tint="0.499984740745262"/>
      </left>
      <right/>
      <top style="thin">
        <color theme="1" tint="0.499984740745262"/>
      </top>
      <bottom style="thin">
        <color theme="1" tint="0.499984740745262"/>
      </bottom>
      <diagonal/>
    </border>
    <border>
      <left/>
      <right/>
      <top style="thin">
        <color theme="1" tint="0.499984740745262"/>
      </top>
      <bottom style="thin">
        <color theme="1" tint="0.499984740745262"/>
      </bottom>
      <diagonal/>
    </border>
    <border>
      <left/>
      <right/>
      <top/>
      <bottom style="thin">
        <color theme="1" tint="0.499984740745262"/>
      </bottom>
      <diagonal/>
    </border>
    <border>
      <left style="thin">
        <color indexed="64"/>
      </left>
      <right style="thin">
        <color indexed="64"/>
      </right>
      <top style="thin">
        <color indexed="64"/>
      </top>
      <bottom style="thin">
        <color indexed="64"/>
      </bottom>
      <diagonal/>
    </border>
  </borders>
  <cellStyleXfs count="12">
    <xf numFmtId="0" fontId="0" fillId="0" borderId="0"/>
    <xf numFmtId="0" fontId="2" fillId="0" borderId="0" applyNumberFormat="0" applyFill="0" applyBorder="0" applyAlignment="0" applyProtection="0">
      <alignment vertical="top"/>
      <protection locked="0"/>
    </xf>
    <xf numFmtId="0" fontId="7" fillId="0" borderId="0"/>
    <xf numFmtId="164" fontId="4" fillId="0" borderId="2" applyFont="0" applyFill="0" applyAlignment="0" applyProtection="0"/>
    <xf numFmtId="0" fontId="6" fillId="0" borderId="0" applyNumberFormat="0" applyFill="0" applyBorder="0" applyAlignment="0" applyProtection="0"/>
    <xf numFmtId="0" fontId="5" fillId="0" borderId="0" applyNumberFormat="0" applyFill="0" applyAlignment="0" applyProtection="0"/>
    <xf numFmtId="0" fontId="5" fillId="0" borderId="0" applyNumberFormat="0" applyFill="0" applyProtection="0">
      <alignment vertical="top"/>
    </xf>
    <xf numFmtId="0" fontId="4" fillId="0" borderId="0" applyNumberFormat="0" applyFill="0" applyProtection="0">
      <alignment horizontal="right" indent="1"/>
    </xf>
    <xf numFmtId="166" fontId="4" fillId="0" borderId="2">
      <alignment horizontal="center" vertical="center"/>
    </xf>
    <xf numFmtId="165" fontId="4" fillId="0" borderId="1" applyFill="0">
      <alignment horizontal="center" vertical="center"/>
    </xf>
    <xf numFmtId="0" fontId="4" fillId="0" borderId="1" applyFill="0">
      <alignment horizontal="center" vertical="center"/>
    </xf>
    <xf numFmtId="0" fontId="4" fillId="0" borderId="1" applyFill="0">
      <alignment horizontal="left" vertical="center" indent="2"/>
    </xf>
  </cellStyleXfs>
  <cellXfs count="84">
    <xf numFmtId="0" fontId="0" fillId="0" borderId="0" xfId="0"/>
    <xf numFmtId="0" fontId="1" fillId="0" borderId="0" xfId="0" applyFont="1"/>
    <xf numFmtId="0" fontId="0" fillId="0" borderId="0" xfId="0" applyAlignment="1">
      <alignment horizontal="center"/>
    </xf>
    <xf numFmtId="0" fontId="0" fillId="0" borderId="0" xfId="0" applyAlignment="1">
      <alignment horizontal="right" vertical="center"/>
    </xf>
    <xf numFmtId="0" fontId="3" fillId="0" borderId="1" xfId="0" applyFont="1" applyBorder="1" applyAlignment="1">
      <alignment horizontal="center" vertical="center"/>
    </xf>
    <xf numFmtId="0" fontId="3" fillId="2" borderId="1" xfId="0" applyFont="1" applyFill="1" applyBorder="1" applyAlignment="1">
      <alignment horizontal="center" vertical="center"/>
    </xf>
    <xf numFmtId="0" fontId="7" fillId="0" borderId="0" xfId="2"/>
    <xf numFmtId="0" fontId="7" fillId="0" borderId="0" xfId="2" applyAlignment="1">
      <alignment wrapText="1"/>
    </xf>
    <xf numFmtId="0" fontId="3" fillId="0" borderId="0" xfId="0" applyFont="1" applyAlignment="1">
      <alignment horizontal="center" vertical="center"/>
    </xf>
    <xf numFmtId="0" fontId="8" fillId="0" borderId="0" xfId="0" applyFont="1" applyAlignment="1">
      <alignment horizontal="center"/>
    </xf>
    <xf numFmtId="0" fontId="8" fillId="0" borderId="0" xfId="0" applyFont="1" applyAlignment="1">
      <alignment horizontal="center" vertical="center"/>
    </xf>
    <xf numFmtId="0" fontId="9" fillId="0" borderId="0" xfId="0" applyFont="1"/>
    <xf numFmtId="0" fontId="9" fillId="0" borderId="0" xfId="0" applyFont="1" applyAlignment="1">
      <alignment horizontal="center"/>
    </xf>
    <xf numFmtId="0" fontId="10" fillId="0" borderId="0" xfId="0" applyFont="1"/>
    <xf numFmtId="0" fontId="11" fillId="0" borderId="0" xfId="0" applyFont="1" applyAlignment="1">
      <alignment horizontal="left" indent="1"/>
    </xf>
    <xf numFmtId="0" fontId="4" fillId="0" borderId="0" xfId="0" applyFont="1"/>
    <xf numFmtId="0" fontId="4" fillId="0" borderId="0" xfId="0" applyFont="1" applyAlignment="1">
      <alignment horizontal="center"/>
    </xf>
    <xf numFmtId="0" fontId="1" fillId="0" borderId="0" xfId="1" applyFont="1" applyAlignment="1" applyProtection="1">
      <alignment horizontal="left" vertical="top" indent="1"/>
    </xf>
    <xf numFmtId="0" fontId="4" fillId="0" borderId="0" xfId="0" applyFont="1" applyAlignment="1">
      <alignment horizontal="left" indent="1"/>
    </xf>
    <xf numFmtId="168" fontId="14" fillId="12" borderId="20" xfId="0" applyNumberFormat="1" applyFont="1" applyFill="1" applyBorder="1" applyAlignment="1">
      <alignment horizontal="center" vertical="center"/>
    </xf>
    <xf numFmtId="168" fontId="14" fillId="12" borderId="18" xfId="0" applyNumberFormat="1" applyFont="1" applyFill="1" applyBorder="1" applyAlignment="1">
      <alignment horizontal="center" vertical="center"/>
    </xf>
    <xf numFmtId="168" fontId="14" fillId="12" borderId="19" xfId="0" applyNumberFormat="1" applyFont="1" applyFill="1" applyBorder="1" applyAlignment="1">
      <alignment horizontal="center" vertical="center"/>
    </xf>
    <xf numFmtId="0" fontId="15" fillId="2" borderId="17" xfId="0" applyFont="1" applyFill="1" applyBorder="1" applyAlignment="1">
      <alignment horizontal="center" vertical="center" shrinkToFit="1"/>
    </xf>
    <xf numFmtId="0" fontId="15" fillId="2" borderId="14" xfId="0" applyFont="1" applyFill="1" applyBorder="1" applyAlignment="1">
      <alignment horizontal="center" vertical="center" shrinkToFit="1"/>
    </xf>
    <xf numFmtId="0" fontId="15" fillId="2" borderId="15" xfId="0" applyFont="1" applyFill="1" applyBorder="1" applyAlignment="1">
      <alignment horizontal="center" vertical="center" shrinkToFit="1"/>
    </xf>
    <xf numFmtId="0" fontId="12" fillId="0" borderId="0" xfId="0" applyFont="1"/>
    <xf numFmtId="0" fontId="4" fillId="0" borderId="3" xfId="0" applyFont="1" applyBorder="1" applyAlignment="1">
      <alignment vertical="center"/>
    </xf>
    <xf numFmtId="165" fontId="12" fillId="6" borderId="0" xfId="0" applyNumberFormat="1" applyFont="1" applyFill="1" applyAlignment="1">
      <alignment horizontal="center" vertical="center"/>
    </xf>
    <xf numFmtId="165" fontId="1" fillId="6" borderId="0" xfId="0" applyNumberFormat="1" applyFont="1" applyFill="1" applyAlignment="1">
      <alignment horizontal="center" vertical="center"/>
    </xf>
    <xf numFmtId="0" fontId="4" fillId="0" borderId="12" xfId="0" applyFont="1" applyBorder="1" applyAlignment="1">
      <alignment vertical="center"/>
    </xf>
    <xf numFmtId="0" fontId="4" fillId="0" borderId="0" xfId="0" applyFont="1" applyAlignment="1">
      <alignment vertical="center"/>
    </xf>
    <xf numFmtId="165" fontId="12" fillId="3" borderId="6" xfId="9" applyFont="1" applyFill="1" applyBorder="1">
      <alignment horizontal="center" vertical="center"/>
    </xf>
    <xf numFmtId="0" fontId="4" fillId="0" borderId="4" xfId="0" applyFont="1" applyBorder="1" applyAlignment="1">
      <alignment vertical="center"/>
    </xf>
    <xf numFmtId="165" fontId="12" fillId="3" borderId="7" xfId="9" applyFont="1" applyFill="1" applyBorder="1">
      <alignment horizontal="center" vertical="center"/>
    </xf>
    <xf numFmtId="0" fontId="4" fillId="0" borderId="4" xfId="0" applyFont="1" applyBorder="1" applyAlignment="1">
      <alignment horizontal="right" vertical="center"/>
    </xf>
    <xf numFmtId="165" fontId="12" fillId="7" borderId="0" xfId="0" applyNumberFormat="1" applyFont="1" applyFill="1" applyAlignment="1">
      <alignment horizontal="center" vertical="center"/>
    </xf>
    <xf numFmtId="165" fontId="1" fillId="7" borderId="0" xfId="0" applyNumberFormat="1" applyFont="1" applyFill="1" applyAlignment="1">
      <alignment horizontal="center" vertical="center"/>
    </xf>
    <xf numFmtId="165" fontId="12" fillId="4" borderId="5" xfId="9" applyFont="1" applyFill="1" applyBorder="1">
      <alignment horizontal="center" vertical="center"/>
    </xf>
    <xf numFmtId="165" fontId="12" fillId="8" borderId="0" xfId="0" applyNumberFormat="1" applyFont="1" applyFill="1" applyAlignment="1">
      <alignment horizontal="center" vertical="center"/>
    </xf>
    <xf numFmtId="165" fontId="1" fillId="8" borderId="0" xfId="0" applyNumberFormat="1" applyFont="1" applyFill="1" applyAlignment="1">
      <alignment horizontal="center" vertical="center"/>
    </xf>
    <xf numFmtId="0" fontId="4" fillId="0" borderId="11" xfId="0" applyFont="1" applyBorder="1" applyAlignment="1">
      <alignment vertical="center"/>
    </xf>
    <xf numFmtId="165" fontId="12" fillId="5" borderId="8" xfId="9" applyFont="1" applyFill="1" applyBorder="1">
      <alignment horizontal="center" vertical="center"/>
    </xf>
    <xf numFmtId="165" fontId="12" fillId="9" borderId="0" xfId="0" applyNumberFormat="1" applyFont="1" applyFill="1" applyAlignment="1">
      <alignment horizontal="center" vertical="center"/>
    </xf>
    <xf numFmtId="165" fontId="1" fillId="9" borderId="0" xfId="0" applyNumberFormat="1" applyFont="1" applyFill="1" applyAlignment="1">
      <alignment horizontal="center" vertical="center"/>
    </xf>
    <xf numFmtId="0" fontId="4" fillId="0" borderId="10" xfId="0" applyFont="1" applyBorder="1" applyAlignment="1">
      <alignment vertical="center"/>
    </xf>
    <xf numFmtId="165" fontId="12" fillId="10" borderId="9" xfId="9" applyFont="1" applyFill="1" applyBorder="1">
      <alignment horizontal="center" vertical="center"/>
    </xf>
    <xf numFmtId="0" fontId="12" fillId="0" borderId="0" xfId="11" applyFont="1" applyBorder="1">
      <alignment horizontal="left" vertical="center" indent="2"/>
    </xf>
    <xf numFmtId="165" fontId="12" fillId="0" borderId="0" xfId="9" applyFont="1" applyBorder="1">
      <alignment horizontal="center" vertical="center"/>
    </xf>
    <xf numFmtId="0" fontId="17" fillId="2" borderId="0" xfId="0" applyFont="1" applyFill="1" applyAlignment="1">
      <alignment horizontal="left" vertical="center" indent="1"/>
    </xf>
    <xf numFmtId="165" fontId="18" fillId="2" borderId="0" xfId="0" applyNumberFormat="1" applyFont="1" applyFill="1" applyAlignment="1">
      <alignment horizontal="left" vertical="center"/>
    </xf>
    <xf numFmtId="165" fontId="1" fillId="2" borderId="0" xfId="0" applyNumberFormat="1" applyFont="1" applyFill="1" applyAlignment="1">
      <alignment horizontal="center" vertical="center"/>
    </xf>
    <xf numFmtId="0" fontId="4" fillId="2" borderId="0" xfId="0" applyFont="1" applyFill="1" applyAlignment="1">
      <alignment vertical="center"/>
    </xf>
    <xf numFmtId="0" fontId="19" fillId="0" borderId="0" xfId="5" applyFont="1" applyAlignment="1">
      <alignment horizontal="left" vertical="center" indent="1"/>
    </xf>
    <xf numFmtId="165" fontId="12" fillId="10" borderId="0" xfId="9" applyFont="1" applyFill="1" applyBorder="1">
      <alignment horizontal="center" vertical="center"/>
    </xf>
    <xf numFmtId="0" fontId="22" fillId="0" borderId="0" xfId="4" applyFont="1" applyAlignment="1">
      <alignment horizontal="left" wrapText="1"/>
    </xf>
    <xf numFmtId="165" fontId="12" fillId="3" borderId="0" xfId="9" applyFont="1" applyFill="1" applyBorder="1">
      <alignment horizontal="center" vertical="center"/>
    </xf>
    <xf numFmtId="165" fontId="12" fillId="4" borderId="0" xfId="9" applyFont="1" applyFill="1" applyBorder="1">
      <alignment horizontal="center" vertical="center"/>
    </xf>
    <xf numFmtId="0" fontId="16" fillId="6" borderId="0" xfId="0" applyFont="1" applyFill="1" applyAlignment="1">
      <alignment vertical="center"/>
    </xf>
    <xf numFmtId="0" fontId="12" fillId="3" borderId="6" xfId="11" applyFont="1" applyFill="1" applyBorder="1" applyAlignment="1">
      <alignment vertical="center"/>
    </xf>
    <xf numFmtId="0" fontId="12" fillId="3" borderId="7" xfId="11" applyFont="1" applyFill="1" applyBorder="1" applyAlignment="1">
      <alignment vertical="center"/>
    </xf>
    <xf numFmtId="0" fontId="12" fillId="3" borderId="0" xfId="11" applyFont="1" applyFill="1" applyBorder="1" applyAlignment="1">
      <alignment vertical="center"/>
    </xf>
    <xf numFmtId="0" fontId="16" fillId="7" borderId="0" xfId="0" applyFont="1" applyFill="1" applyAlignment="1">
      <alignment vertical="center"/>
    </xf>
    <xf numFmtId="0" fontId="12" fillId="4" borderId="5" xfId="11" applyFont="1" applyFill="1" applyBorder="1" applyAlignment="1">
      <alignment vertical="center"/>
    </xf>
    <xf numFmtId="0" fontId="12" fillId="4" borderId="0" xfId="11" applyFont="1" applyFill="1" applyBorder="1" applyAlignment="1">
      <alignment vertical="center"/>
    </xf>
    <xf numFmtId="0" fontId="16" fillId="8" borderId="0" xfId="0" applyFont="1" applyFill="1" applyAlignment="1">
      <alignment vertical="center"/>
    </xf>
    <xf numFmtId="0" fontId="12" fillId="5" borderId="8" xfId="11" applyFont="1" applyFill="1" applyBorder="1" applyAlignment="1">
      <alignment vertical="center"/>
    </xf>
    <xf numFmtId="0" fontId="16" fillId="9" borderId="0" xfId="0" applyFont="1" applyFill="1" applyAlignment="1">
      <alignment vertical="center"/>
    </xf>
    <xf numFmtId="0" fontId="12" fillId="10" borderId="9" xfId="11" applyFont="1" applyFill="1" applyBorder="1" applyAlignment="1">
      <alignment vertical="center"/>
    </xf>
    <xf numFmtId="0" fontId="16" fillId="10" borderId="9" xfId="11" applyFont="1" applyFill="1" applyBorder="1" applyAlignment="1">
      <alignment vertical="center"/>
    </xf>
    <xf numFmtId="0" fontId="12" fillId="10" borderId="0" xfId="11" applyFont="1" applyFill="1" applyBorder="1" applyAlignment="1">
      <alignment vertical="center"/>
    </xf>
    <xf numFmtId="166" fontId="20" fillId="0" borderId="0" xfId="8" applyFont="1" applyBorder="1" applyAlignment="1">
      <alignment horizontal="left"/>
    </xf>
    <xf numFmtId="0" fontId="21" fillId="0" borderId="0" xfId="0" applyFont="1"/>
    <xf numFmtId="0" fontId="19" fillId="0" borderId="0" xfId="7" applyFont="1" applyAlignment="1">
      <alignment horizontal="left"/>
    </xf>
    <xf numFmtId="0" fontId="4" fillId="0" borderId="0" xfId="0" applyFont="1"/>
    <xf numFmtId="0" fontId="13" fillId="0" borderId="22" xfId="0" applyFont="1" applyBorder="1" applyAlignment="1">
      <alignment horizontal="center" vertical="center" wrapText="1"/>
    </xf>
    <xf numFmtId="167" fontId="12" fillId="2" borderId="13" xfId="0" applyNumberFormat="1" applyFont="1" applyFill="1" applyBorder="1" applyAlignment="1">
      <alignment horizontal="center" vertical="center" wrapText="1"/>
    </xf>
    <xf numFmtId="167" fontId="12" fillId="2" borderId="19" xfId="0" applyNumberFormat="1" applyFont="1" applyFill="1" applyBorder="1" applyAlignment="1">
      <alignment horizontal="center" vertical="center" wrapText="1"/>
    </xf>
    <xf numFmtId="167" fontId="12" fillId="2" borderId="18" xfId="0" applyNumberFormat="1" applyFont="1" applyFill="1" applyBorder="1" applyAlignment="1">
      <alignment horizontal="center" vertical="center" wrapText="1"/>
    </xf>
    <xf numFmtId="0" fontId="7" fillId="0" borderId="0" xfId="2" applyAlignment="1">
      <alignment wrapText="1"/>
    </xf>
    <xf numFmtId="0" fontId="13" fillId="11" borderId="16" xfId="0" applyFont="1" applyFill="1" applyBorder="1" applyAlignment="1">
      <alignment horizontal="left" vertical="center" indent="1"/>
    </xf>
    <xf numFmtId="0" fontId="4" fillId="2" borderId="21" xfId="0" applyFont="1" applyFill="1" applyBorder="1" applyAlignment="1">
      <alignment horizontal="left" indent="1"/>
    </xf>
    <xf numFmtId="0" fontId="13" fillId="11" borderId="16" xfId="0" applyFont="1" applyFill="1" applyBorder="1" applyAlignment="1">
      <alignment horizontal="center" vertical="center" wrapText="1"/>
    </xf>
    <xf numFmtId="0" fontId="4" fillId="2" borderId="21" xfId="0" applyFont="1" applyFill="1" applyBorder="1" applyAlignment="1">
      <alignment wrapText="1"/>
    </xf>
    <xf numFmtId="0" fontId="20" fillId="0" borderId="0" xfId="0" applyFont="1" applyAlignment="1">
      <alignment horizontal="left"/>
    </xf>
  </cellXfs>
  <cellStyles count="12">
    <cellStyle name="Comma" xfId="3" builtinId="3" customBuiltin="1"/>
    <cellStyle name="Date" xfId="9" xr:uid="{229918B6-DD13-4F5A-97B9-305F7E002AA3}"/>
    <cellStyle name="Heading 1" xfId="5" builtinId="16" customBuiltin="1"/>
    <cellStyle name="Heading 2" xfId="6" builtinId="17" customBuiltin="1"/>
    <cellStyle name="Heading 3" xfId="7" builtinId="18" customBuiltin="1"/>
    <cellStyle name="Hyperlink" xfId="1" builtinId="8" customBuiltin="1"/>
    <cellStyle name="Name" xfId="10" xr:uid="{B2D3C1EE-6B41-4801-AAFC-C2274E49E503}"/>
    <cellStyle name="Normal" xfId="0" builtinId="0"/>
    <cellStyle name="Project Start" xfId="8" xr:uid="{8EB8A09A-C31C-40A3-B2C1-9449520178B8}"/>
    <cellStyle name="Task" xfId="11" xr:uid="{6391D789-272B-4DD2-9BF3-2CDCF610FA41}"/>
    <cellStyle name="Title" xfId="4" builtinId="15" customBuiltin="1"/>
    <cellStyle name="zHiddenText" xfId="2" xr:uid="{26E66EE6-E33F-4D77-BAE4-0FB4F5BBF673}"/>
  </cellStyles>
  <dxfs count="18">
    <dxf>
      <border>
        <left style="thin">
          <color theme="5"/>
        </left>
        <right style="thin">
          <color theme="5"/>
        </right>
        <vertical/>
        <horizontal/>
      </border>
    </dxf>
    <dxf>
      <fill>
        <patternFill>
          <bgColor theme="4" tint="0.39994506668294322"/>
        </patternFill>
      </fill>
      <border>
        <left/>
        <right/>
        <top style="thin">
          <color theme="0" tint="-4.9989318521683403E-2"/>
        </top>
        <bottom style="thin">
          <color theme="0" tint="-4.9989318521683403E-2"/>
        </bottom>
      </border>
    </dxf>
    <dxf>
      <fill>
        <patternFill>
          <bgColor theme="4" tint="0.79998168889431442"/>
        </patternFill>
      </fill>
      <border>
        <top style="thin">
          <color theme="0" tint="-4.9989318521683403E-2"/>
        </top>
        <bottom style="thin">
          <color theme="0" tint="-4.9989318521683403E-2"/>
        </bottom>
      </border>
    </dxf>
    <dxf>
      <fill>
        <patternFill>
          <bgColor theme="8"/>
        </patternFill>
      </fill>
      <border>
        <left/>
        <right/>
      </border>
    </dxf>
    <dxf>
      <fill>
        <patternFill>
          <bgColor theme="8" tint="0.59996337778862885"/>
        </patternFill>
      </fill>
      <border>
        <left/>
        <right/>
      </border>
    </dxf>
    <dxf>
      <fill>
        <patternFill>
          <bgColor theme="6" tint="0.39994506668294322"/>
        </patternFill>
      </fill>
      <border>
        <left/>
        <right/>
        <top style="thin">
          <color theme="0" tint="-4.9989318521683403E-2"/>
        </top>
        <bottom style="thin">
          <color theme="0" tint="-4.9989318521683403E-2"/>
        </bottom>
      </border>
    </dxf>
    <dxf>
      <fill>
        <patternFill>
          <bgColor theme="6" tint="0.79998168889431442"/>
        </patternFill>
      </fill>
      <border>
        <top style="thin">
          <color theme="0" tint="-4.9989318521683403E-2"/>
        </top>
        <bottom style="thin">
          <color theme="0" tint="-4.9989318521683403E-2"/>
        </bottom>
      </border>
    </dxf>
    <dxf>
      <fill>
        <patternFill>
          <bgColor theme="5" tint="0.39994506668294322"/>
        </patternFill>
      </fill>
      <border>
        <left/>
        <right/>
        <top style="thin">
          <color theme="0" tint="-4.9989318521683403E-2"/>
        </top>
        <bottom style="thin">
          <color theme="0" tint="-4.9989318521683403E-2"/>
        </bottom>
      </border>
    </dxf>
    <dxf>
      <fill>
        <patternFill>
          <bgColor theme="5" tint="0.79998168889431442"/>
        </patternFill>
      </fill>
    </dxf>
    <dxf>
      <border>
        <left style="thin">
          <color theme="0" tint="-0.24994659260841701"/>
        </left>
      </border>
    </dxf>
    <dxf>
      <border>
        <left style="thin">
          <color theme="0" tint="-0.24994659260841701"/>
        </left>
      </border>
    </dxf>
    <dxf>
      <border>
        <top style="thin">
          <color theme="4" tint="0.39994506668294322"/>
        </top>
      </border>
    </dxf>
    <dxf>
      <fill>
        <patternFill>
          <bgColor theme="0" tint="-4.9989318521683403E-2"/>
        </patternFill>
      </fill>
      <border>
        <top style="thin">
          <color theme="4" tint="0.39994506668294322"/>
        </top>
      </border>
    </dxf>
    <dxf>
      <font>
        <b/>
        <color theme="1"/>
      </font>
    </dxf>
    <dxf>
      <font>
        <b val="0"/>
        <i val="0"/>
        <color theme="1"/>
      </font>
      <border>
        <left style="thin">
          <color theme="4"/>
        </left>
      </border>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border>
    </dxf>
  </dxfs>
  <tableStyles count="1" defaultTableStyle="TableStyleMedium2" defaultPivotStyle="PivotStyleLight16">
    <tableStyle name="ToDoList" pivot="0" count="9" xr9:uid="{00000000-0011-0000-FFFF-FFFF00000000}">
      <tableStyleElement type="wholeTable" dxfId="17"/>
      <tableStyleElement type="headerRow" dxfId="16"/>
      <tableStyleElement type="totalRow" dxfId="15"/>
      <tableStyleElement type="firstColumn" dxfId="14"/>
      <tableStyleElement type="lastColumn" dxfId="13"/>
      <tableStyleElement type="firstRowStripe" dxfId="12"/>
      <tableStyleElement type="secondRowStripe" dxfId="11"/>
      <tableStyleElement type="firstColumnStripe" dxfId="10"/>
      <tableStyleElement type="secondColumnStripe" dxfId="9"/>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5FF25F"/>
      <rgbColor rgb="000000FF"/>
      <rgbColor rgb="00FFFF00"/>
      <rgbColor rgb="00DE3018"/>
      <rgbColor rgb="0053D4C9"/>
      <rgbColor rgb="006B0C00"/>
      <rgbColor rgb="00006500"/>
      <rgbColor rgb="00182C63"/>
      <rgbColor rgb="00819C00"/>
      <rgbColor rgb="00C9B783"/>
      <rgbColor rgb="00007F74"/>
      <rgbColor rgb="00F0F0F0"/>
      <rgbColor rgb="00666666"/>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799FC4"/>
      <rgbColor rgb="00C1F1ED"/>
      <rgbColor rgb="00D6F4D9"/>
      <rgbColor rgb="00FFFFCC"/>
      <rgbColor rgb="00C9DAFB"/>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mruColors>
      <color rgb="FF215881"/>
      <color rgb="FF42648A"/>
      <color rgb="FF969696"/>
      <color rgb="FFC0C0C0"/>
      <color rgb="FF427FC2"/>
      <color rgb="FF44678E"/>
      <color rgb="FF4A6F9C"/>
      <color rgb="FF3969AD"/>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ZA"/>
              <a:t>Project Schedule Gantt Chart</a:t>
            </a:r>
          </a:p>
        </c:rich>
      </c:tx>
      <c:overlay val="0"/>
    </c:title>
    <c:autoTitleDeleted val="0"/>
    <c:plotArea>
      <c:layout/>
      <c:barChart>
        <c:barDir val="bar"/>
        <c:grouping val="stacked"/>
        <c:varyColors val="0"/>
        <c:ser>
          <c:idx val="0"/>
          <c:order val="0"/>
          <c:tx>
            <c:v>Start Date</c:v>
          </c:tx>
          <c:spPr>
            <a:noFill/>
            <a:ln>
              <a:noFill/>
            </a:ln>
            <a:effectLst/>
            <a:extLst>
              <a:ext uri="{909E8E84-426E-40DD-AFC4-6F175D3DCCD1}">
                <a14:hiddenFill xmlns:a14="http://schemas.microsoft.com/office/drawing/2010/main">
                  <a:solidFill>
                    <a:srgbClr val="6528F7"/>
                  </a:solidFill>
                </a14:hiddenFill>
              </a:ext>
              <a:ext uri="{91240B29-F687-4F45-9708-019B960494DF}">
                <a14:hiddenLine xmlns:a14="http://schemas.microsoft.com/office/drawing/2010/main">
                  <a:noFill/>
                </a14:hiddenLine>
              </a:ext>
            </a:extLst>
          </c:spPr>
          <c:invertIfNegative val="0"/>
          <c:cat>
            <c:strRef>
              <c:f>'Project schedule'!$B$9:$B$39</c:f>
              <c:strCache>
                <c:ptCount val="31"/>
                <c:pt idx="0">
                  <c:v>Project Schedule Planning</c:v>
                </c:pt>
                <c:pt idx="1">
                  <c:v>Business &amp; Financial Plan</c:v>
                </c:pt>
                <c:pt idx="2">
                  <c:v> General Assembly Drawing / Exploded View</c:v>
                </c:pt>
                <c:pt idx="3">
                  <c:v>Parts List (BOM) with Make-or-Buy Decision</c:v>
                </c:pt>
                <c:pt idx="4">
                  <c:v>Manufacturing Drawings of All Components</c:v>
                </c:pt>
                <c:pt idx="5">
                  <c:v>SUBMISSION 1</c:v>
                </c:pt>
                <c:pt idx="6">
                  <c:v>Part 2</c:v>
                </c:pt>
                <c:pt idx="7">
                  <c:v>Production Routings/ Spread Sheets (x2) / Production Style</c:v>
                </c:pt>
                <c:pt idx="8">
                  <c:v>Assembly Chart / Operation Process Chart</c:v>
                </c:pt>
                <c:pt idx="9">
                  <c:v>Process Charts &amp; Flow Diagrams</c:v>
                </c:pt>
                <c:pt idx="10">
                  <c:v>Material Flow Pattern (at least 2)</c:v>
                </c:pt>
                <c:pt idx="11">
                  <c:v>Evaluation Criteria &amp; Design Evaluation Sheets</c:v>
                </c:pt>
                <c:pt idx="12">
                  <c:v>SUBMISSION 2</c:v>
                </c:pt>
                <c:pt idx="13">
                  <c:v>Part 3</c:v>
                </c:pt>
                <c:pt idx="14">
                  <c:v>ACTIVITY RELATIONSHIP CHART / A.R. WORK SHEET / DIAGRAM</c:v>
                </c:pt>
                <c:pt idx="15">
                  <c:v>RECEIVING / STORES / WAREHOUSE / SHIPPING</c:v>
                </c:pt>
                <c:pt idx="16">
                  <c:v>  • Data Collection</c:v>
                </c:pt>
                <c:pt idx="17">
                  <c:v>  • Size &amp; Layout Planning</c:v>
                </c:pt>
                <c:pt idx="18">
                  <c:v>FACILITIES PLANNING:</c:v>
                </c:pt>
                <c:pt idx="19">
                  <c:v>  • Offices / Maintenance / Toolroom</c:v>
                </c:pt>
                <c:pt idx="20">
                  <c:v>  • Cafeteria / Medical Room</c:v>
                </c:pt>
                <c:pt idx="21">
                  <c:v>  • Locker Room &amp; Toilets</c:v>
                </c:pt>
                <c:pt idx="22">
                  <c:v>OPERATIONS (PRODUCTION):</c:v>
                </c:pt>
                <c:pt idx="23">
                  <c:v>  • Workplace/Workstation Design</c:v>
                </c:pt>
                <c:pt idx="24">
                  <c:v>  • Layouts of Production Lines with Material Flow</c:v>
                </c:pt>
                <c:pt idx="25">
                  <c:v>  • Time Standards (Modapts) &amp; Line Balancing</c:v>
                </c:pt>
                <c:pt idx="26">
                  <c:v>TOTAL SPACE REQUIREMENT SUMMARY SHEET</c:v>
                </c:pt>
                <c:pt idx="27">
                  <c:v>LAYOUT CONSTRUCTION - FIRST DRAFT</c:v>
                </c:pt>
                <c:pt idx="28">
                  <c:v>  • Detailed factory layout with material flow lines</c:v>
                </c:pt>
                <c:pt idx="29">
                  <c:v> PART 3 FIRST DRAFT COMPLETION (13 June 2026)</c:v>
                </c:pt>
                <c:pt idx="30">
                  <c:v>LAYOUT CONSTRUCTION - FINAL SUBMISSION</c:v>
                </c:pt>
              </c:strCache>
            </c:strRef>
          </c:cat>
          <c:val>
            <c:numRef>
              <c:f>'Project schedule'!$C$9:$C$39</c:f>
              <c:numCache>
                <c:formatCode>m/d/yy;@</c:formatCode>
                <c:ptCount val="31"/>
                <c:pt idx="0">
                  <c:v>46051</c:v>
                </c:pt>
                <c:pt idx="1">
                  <c:v>46054</c:v>
                </c:pt>
                <c:pt idx="2">
                  <c:v>46076</c:v>
                </c:pt>
                <c:pt idx="3">
                  <c:v>46081</c:v>
                </c:pt>
                <c:pt idx="4">
                  <c:v>46084</c:v>
                </c:pt>
                <c:pt idx="7">
                  <c:v>46090</c:v>
                </c:pt>
                <c:pt idx="8">
                  <c:v>46111</c:v>
                </c:pt>
                <c:pt idx="9">
                  <c:v>46116</c:v>
                </c:pt>
                <c:pt idx="10">
                  <c:v>46121</c:v>
                </c:pt>
                <c:pt idx="11">
                  <c:v>46127</c:v>
                </c:pt>
                <c:pt idx="14">
                  <c:v>46137</c:v>
                </c:pt>
                <c:pt idx="15">
                  <c:v>46152</c:v>
                </c:pt>
                <c:pt idx="16">
                  <c:v>46152</c:v>
                </c:pt>
                <c:pt idx="17">
                  <c:v>46165</c:v>
                </c:pt>
                <c:pt idx="19">
                  <c:v>46169</c:v>
                </c:pt>
                <c:pt idx="20">
                  <c:v>46169</c:v>
                </c:pt>
                <c:pt idx="21">
                  <c:v>46169</c:v>
                </c:pt>
                <c:pt idx="23">
                  <c:v>46180</c:v>
                </c:pt>
                <c:pt idx="24">
                  <c:v>46186</c:v>
                </c:pt>
                <c:pt idx="25">
                  <c:v>46191</c:v>
                </c:pt>
                <c:pt idx="26">
                  <c:v>46196</c:v>
                </c:pt>
                <c:pt idx="27">
                  <c:v>46200</c:v>
                </c:pt>
                <c:pt idx="28">
                  <c:v>46209</c:v>
                </c:pt>
                <c:pt idx="29">
                  <c:v>46213</c:v>
                </c:pt>
                <c:pt idx="30">
                  <c:v>46217</c:v>
                </c:pt>
              </c:numCache>
            </c:numRef>
          </c:val>
          <c:extLst>
            <c:ext xmlns:c16="http://schemas.microsoft.com/office/drawing/2014/chart" uri="{C3380CC4-5D6E-409C-BE32-E72D297353CC}">
              <c16:uniqueId val="{00000000-CE99-4B4A-9D46-ABC2DE8A1055}"/>
            </c:ext>
          </c:extLst>
        </c:ser>
        <c:ser>
          <c:idx val="1"/>
          <c:order val="1"/>
          <c:tx>
            <c:v>Duration</c:v>
          </c:tx>
          <c:invertIfNegative val="0"/>
          <c:val>
            <c:numRef>
              <c:f>'Project schedule'!$E$9:$E$39</c:f>
              <c:numCache>
                <c:formatCode>General</c:formatCode>
                <c:ptCount val="31"/>
                <c:pt idx="0">
                  <c:v>3</c:v>
                </c:pt>
                <c:pt idx="1">
                  <c:v>22</c:v>
                </c:pt>
                <c:pt idx="2">
                  <c:v>5</c:v>
                </c:pt>
                <c:pt idx="3">
                  <c:v>3</c:v>
                </c:pt>
                <c:pt idx="4">
                  <c:v>5</c:v>
                </c:pt>
                <c:pt idx="7">
                  <c:v>20</c:v>
                </c:pt>
                <c:pt idx="8">
                  <c:v>5</c:v>
                </c:pt>
                <c:pt idx="9">
                  <c:v>5</c:v>
                </c:pt>
                <c:pt idx="10">
                  <c:v>5</c:v>
                </c:pt>
                <c:pt idx="11">
                  <c:v>6</c:v>
                </c:pt>
                <c:pt idx="14">
                  <c:v>14</c:v>
                </c:pt>
                <c:pt idx="15">
                  <c:v>13</c:v>
                </c:pt>
                <c:pt idx="16">
                  <c:v>5</c:v>
                </c:pt>
                <c:pt idx="17">
                  <c:v>4</c:v>
                </c:pt>
                <c:pt idx="19">
                  <c:v>1</c:v>
                </c:pt>
                <c:pt idx="20">
                  <c:v>1</c:v>
                </c:pt>
                <c:pt idx="21">
                  <c:v>1</c:v>
                </c:pt>
                <c:pt idx="23">
                  <c:v>5</c:v>
                </c:pt>
                <c:pt idx="24">
                  <c:v>4</c:v>
                </c:pt>
                <c:pt idx="25">
                  <c:v>4</c:v>
                </c:pt>
                <c:pt idx="26">
                  <c:v>3</c:v>
                </c:pt>
                <c:pt idx="27">
                  <c:v>8</c:v>
                </c:pt>
                <c:pt idx="28">
                  <c:v>4</c:v>
                </c:pt>
                <c:pt idx="29">
                  <c:v>3</c:v>
                </c:pt>
                <c:pt idx="30">
                  <c:v>74</c:v>
                </c:pt>
              </c:numCache>
            </c:numRef>
          </c:val>
          <c:extLst>
            <c:ext xmlns:c16="http://schemas.microsoft.com/office/drawing/2014/chart" uri="{C3380CC4-5D6E-409C-BE32-E72D297353CC}">
              <c16:uniqueId val="{00000001-CE99-4B4A-9D46-ABC2DE8A1055}"/>
            </c:ext>
          </c:extLst>
        </c:ser>
        <c:dLbls>
          <c:showLegendKey val="0"/>
          <c:showVal val="0"/>
          <c:showCatName val="0"/>
          <c:showSerName val="0"/>
          <c:showPercent val="0"/>
          <c:showBubbleSize val="0"/>
        </c:dLbls>
        <c:gapWidth val="150"/>
        <c:overlap val="100"/>
        <c:axId val="1718319136"/>
        <c:axId val="1718326816"/>
      </c:barChart>
      <c:catAx>
        <c:axId val="1718319136"/>
        <c:scaling>
          <c:orientation val="maxMin"/>
        </c:scaling>
        <c:delete val="0"/>
        <c:axPos val="l"/>
        <c:numFmt formatCode="General" sourceLinked="1"/>
        <c:majorTickMark val="out"/>
        <c:minorTickMark val="none"/>
        <c:tickLblPos val="nextTo"/>
        <c:crossAx val="1718326816"/>
        <c:crosses val="autoZero"/>
        <c:auto val="1"/>
        <c:lblAlgn val="ctr"/>
        <c:lblOffset val="100"/>
        <c:noMultiLvlLbl val="0"/>
      </c:catAx>
      <c:valAx>
        <c:axId val="1718326816"/>
        <c:scaling>
          <c:orientation val="minMax"/>
          <c:min val="46051"/>
        </c:scaling>
        <c:delete val="0"/>
        <c:axPos val="t"/>
        <c:majorGridlines/>
        <c:numFmt formatCode="dd\-mmm" sourceLinked="0"/>
        <c:majorTickMark val="out"/>
        <c:minorTickMark val="none"/>
        <c:tickLblPos val="nextTo"/>
        <c:crossAx val="1718319136"/>
        <c:crosses val="autoZero"/>
        <c:crossBetween val="between"/>
        <c:majorUnit val="7"/>
      </c:valAx>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FFFF"/>
    </a:solidFill>
    <a:ln w="6350" cap="flat" cmpd="sng" algn="ctr">
      <a:noFill/>
      <a:prstDash val="solid"/>
      <a:round/>
    </a:ln>
    <a:effectLst/>
    <a:extLst>
      <a:ext uri="{91240B29-F687-4F45-9708-019B960494DF}">
        <a14:hiddenLine xmlns:a14="http://schemas.microsoft.com/office/drawing/2010/main" w="6350" cap="flat" cmpd="sng" algn="ctr">
          <a:solidFill>
            <a:srgbClr val="000000">
              <a:tint val="75000"/>
            </a:srgbClr>
          </a:solidFill>
          <a:prstDash val="solid"/>
          <a:round/>
        </a14:hiddenLine>
      </a:ext>
    </a:extLst>
  </c:spPr>
  <c:printSettings>
    <c:headerFooter/>
    <c:pageMargins b="0.75" l="0.7" r="0.7" t="0.75" header="0.3" footer="0.3"/>
    <c:pageSetup paperSize="9" orientation="landscape"/>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2</xdr:col>
      <xdr:colOff>548640</xdr:colOff>
      <xdr:row>43</xdr:row>
      <xdr:rowOff>25400</xdr:rowOff>
    </xdr:from>
    <xdr:to>
      <xdr:col>2</xdr:col>
      <xdr:colOff>675640</xdr:colOff>
      <xdr:row>43</xdr:row>
      <xdr:rowOff>152400</xdr:rowOff>
    </xdr:to>
    <xdr:sp macro="" textlink="">
      <xdr:nvSpPr>
        <xdr:cNvPr id="2" name="Diamond 1">
          <a:extLst>
            <a:ext uri="{FF2B5EF4-FFF2-40B4-BE49-F238E27FC236}">
              <a16:creationId xmlns:a16="http://schemas.microsoft.com/office/drawing/2014/main" id="{859464FD-68FC-41E4-9153-B0587F22271C}"/>
            </a:ext>
          </a:extLst>
        </xdr:cNvPr>
        <xdr:cNvSpPr/>
      </xdr:nvSpPr>
      <xdr:spPr>
        <a:xfrm>
          <a:off x="11750040" y="8255000"/>
          <a:ext cx="119380" cy="127000"/>
        </a:xfrm>
        <a:prstGeom prst="diamond">
          <a:avLst/>
        </a:prstGeom>
        <a:solidFill>
          <a:srgbClr val="FF5722"/>
        </a:solidFill>
        <a:ln w="12700">
          <a:solidFill>
            <a:srgbClr val="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2</xdr:col>
      <xdr:colOff>548640</xdr:colOff>
      <xdr:row>44</xdr:row>
      <xdr:rowOff>25400</xdr:rowOff>
    </xdr:from>
    <xdr:to>
      <xdr:col>2</xdr:col>
      <xdr:colOff>675640</xdr:colOff>
      <xdr:row>44</xdr:row>
      <xdr:rowOff>152400</xdr:rowOff>
    </xdr:to>
    <xdr:sp macro="" textlink="">
      <xdr:nvSpPr>
        <xdr:cNvPr id="3" name="Diamond 2">
          <a:extLst>
            <a:ext uri="{FF2B5EF4-FFF2-40B4-BE49-F238E27FC236}">
              <a16:creationId xmlns:a16="http://schemas.microsoft.com/office/drawing/2014/main" id="{37105ACF-918D-45A8-88C0-615AA260BDBD}"/>
            </a:ext>
          </a:extLst>
        </xdr:cNvPr>
        <xdr:cNvSpPr/>
      </xdr:nvSpPr>
      <xdr:spPr>
        <a:xfrm>
          <a:off x="11750040" y="8445500"/>
          <a:ext cx="119380" cy="127000"/>
        </a:xfrm>
        <a:prstGeom prst="diamond">
          <a:avLst/>
        </a:prstGeom>
        <a:solidFill>
          <a:srgbClr val="FF5722"/>
        </a:solidFill>
        <a:ln w="12700">
          <a:solidFill>
            <a:srgbClr val="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2</xdr:col>
      <xdr:colOff>548640</xdr:colOff>
      <xdr:row>45</xdr:row>
      <xdr:rowOff>25400</xdr:rowOff>
    </xdr:from>
    <xdr:to>
      <xdr:col>2</xdr:col>
      <xdr:colOff>675640</xdr:colOff>
      <xdr:row>45</xdr:row>
      <xdr:rowOff>152400</xdr:rowOff>
    </xdr:to>
    <xdr:sp macro="" textlink="">
      <xdr:nvSpPr>
        <xdr:cNvPr id="4" name="Diamond 3">
          <a:extLst>
            <a:ext uri="{FF2B5EF4-FFF2-40B4-BE49-F238E27FC236}">
              <a16:creationId xmlns:a16="http://schemas.microsoft.com/office/drawing/2014/main" id="{9539523D-AC55-43A6-A8BB-815393DBC8EE}"/>
            </a:ext>
          </a:extLst>
        </xdr:cNvPr>
        <xdr:cNvSpPr/>
      </xdr:nvSpPr>
      <xdr:spPr>
        <a:xfrm>
          <a:off x="11750040" y="8636000"/>
          <a:ext cx="119380" cy="127000"/>
        </a:xfrm>
        <a:prstGeom prst="diamond">
          <a:avLst/>
        </a:prstGeom>
        <a:solidFill>
          <a:srgbClr val="FF5722"/>
        </a:solidFill>
        <a:ln w="12700">
          <a:solidFill>
            <a:srgbClr val="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2</xdr:col>
      <xdr:colOff>548640</xdr:colOff>
      <xdr:row>46</xdr:row>
      <xdr:rowOff>25400</xdr:rowOff>
    </xdr:from>
    <xdr:to>
      <xdr:col>2</xdr:col>
      <xdr:colOff>675640</xdr:colOff>
      <xdr:row>46</xdr:row>
      <xdr:rowOff>152400</xdr:rowOff>
    </xdr:to>
    <xdr:sp macro="" textlink="">
      <xdr:nvSpPr>
        <xdr:cNvPr id="5" name="Diamond 4">
          <a:extLst>
            <a:ext uri="{FF2B5EF4-FFF2-40B4-BE49-F238E27FC236}">
              <a16:creationId xmlns:a16="http://schemas.microsoft.com/office/drawing/2014/main" id="{1ED33881-C7F7-4617-85F5-83DBD2CA767D}"/>
            </a:ext>
          </a:extLst>
        </xdr:cNvPr>
        <xdr:cNvSpPr/>
      </xdr:nvSpPr>
      <xdr:spPr>
        <a:xfrm>
          <a:off x="11750040" y="8826500"/>
          <a:ext cx="119380" cy="127000"/>
        </a:xfrm>
        <a:prstGeom prst="diamond">
          <a:avLst/>
        </a:prstGeom>
        <a:solidFill>
          <a:srgbClr val="FF5722"/>
        </a:solidFill>
        <a:ln w="12700">
          <a:solidFill>
            <a:srgbClr val="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6</xdr:col>
      <xdr:colOff>85897</xdr:colOff>
      <xdr:row>4</xdr:row>
      <xdr:rowOff>41728</xdr:rowOff>
    </xdr:from>
    <xdr:to>
      <xdr:col>85</xdr:col>
      <xdr:colOff>119742</xdr:colOff>
      <xdr:row>40</xdr:row>
      <xdr:rowOff>83127</xdr:rowOff>
    </xdr:to>
    <xdr:graphicFrame macro="">
      <xdr:nvGraphicFramePr>
        <xdr:cNvPr id="6" name="Chart 5">
          <a:extLst>
            <a:ext uri="{FF2B5EF4-FFF2-40B4-BE49-F238E27FC236}">
              <a16:creationId xmlns:a16="http://schemas.microsoft.com/office/drawing/2014/main" id="{BF1F5549-CE89-2B1C-61A9-CFCC6DA5C87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1134370</xdr:colOff>
      <xdr:row>13</xdr:row>
      <xdr:rowOff>147234</xdr:rowOff>
    </xdr:from>
    <xdr:to>
      <xdr:col>1</xdr:col>
      <xdr:colOff>1261370</xdr:colOff>
      <xdr:row>13</xdr:row>
      <xdr:rowOff>274234</xdr:rowOff>
    </xdr:to>
    <xdr:sp macro="" textlink="">
      <xdr:nvSpPr>
        <xdr:cNvPr id="7" name="Diamond 6">
          <a:extLst>
            <a:ext uri="{FF2B5EF4-FFF2-40B4-BE49-F238E27FC236}">
              <a16:creationId xmlns:a16="http://schemas.microsoft.com/office/drawing/2014/main" id="{B5B22878-D62E-4FC7-A85E-F6C5E2DB1444}"/>
            </a:ext>
          </a:extLst>
        </xdr:cNvPr>
        <xdr:cNvSpPr/>
      </xdr:nvSpPr>
      <xdr:spPr>
        <a:xfrm>
          <a:off x="1340558" y="5095752"/>
          <a:ext cx="127000" cy="127000"/>
        </a:xfrm>
        <a:prstGeom prst="diamond">
          <a:avLst/>
        </a:prstGeom>
        <a:solidFill>
          <a:srgbClr val="FF5722"/>
        </a:solidFill>
        <a:ln w="12700">
          <a:solidFill>
            <a:srgbClr val="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1</xdr:col>
      <xdr:colOff>1173344</xdr:colOff>
      <xdr:row>20</xdr:row>
      <xdr:rowOff>119992</xdr:rowOff>
    </xdr:from>
    <xdr:to>
      <xdr:col>1</xdr:col>
      <xdr:colOff>1300344</xdr:colOff>
      <xdr:row>20</xdr:row>
      <xdr:rowOff>246992</xdr:rowOff>
    </xdr:to>
    <xdr:sp macro="" textlink="">
      <xdr:nvSpPr>
        <xdr:cNvPr id="8" name="Diamond 7">
          <a:extLst>
            <a:ext uri="{FF2B5EF4-FFF2-40B4-BE49-F238E27FC236}">
              <a16:creationId xmlns:a16="http://schemas.microsoft.com/office/drawing/2014/main" id="{4AE6EB6F-2A68-421D-BE49-CF0B67D04A0F}"/>
            </a:ext>
          </a:extLst>
        </xdr:cNvPr>
        <xdr:cNvSpPr/>
      </xdr:nvSpPr>
      <xdr:spPr>
        <a:xfrm>
          <a:off x="1379532" y="7766886"/>
          <a:ext cx="127000" cy="127000"/>
        </a:xfrm>
        <a:prstGeom prst="diamond">
          <a:avLst/>
        </a:prstGeom>
        <a:solidFill>
          <a:srgbClr val="FF5722"/>
        </a:solidFill>
        <a:ln w="12700">
          <a:solidFill>
            <a:srgbClr val="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1</xdr:col>
      <xdr:colOff>1084729</xdr:colOff>
      <xdr:row>39</xdr:row>
      <xdr:rowOff>98612</xdr:rowOff>
    </xdr:from>
    <xdr:to>
      <xdr:col>1</xdr:col>
      <xdr:colOff>1211729</xdr:colOff>
      <xdr:row>39</xdr:row>
      <xdr:rowOff>225612</xdr:rowOff>
    </xdr:to>
    <xdr:sp macro="" textlink="">
      <xdr:nvSpPr>
        <xdr:cNvPr id="9" name="Diamond 8">
          <a:extLst>
            <a:ext uri="{FF2B5EF4-FFF2-40B4-BE49-F238E27FC236}">
              <a16:creationId xmlns:a16="http://schemas.microsoft.com/office/drawing/2014/main" id="{F2D2ADC6-B6F7-48F4-9129-887F4B760AEE}"/>
            </a:ext>
          </a:extLst>
        </xdr:cNvPr>
        <xdr:cNvSpPr/>
      </xdr:nvSpPr>
      <xdr:spPr>
        <a:xfrm>
          <a:off x="1290917" y="15069671"/>
          <a:ext cx="127000" cy="127000"/>
        </a:xfrm>
        <a:prstGeom prst="diamond">
          <a:avLst/>
        </a:prstGeom>
        <a:solidFill>
          <a:srgbClr val="FF5722"/>
        </a:solidFill>
        <a:ln w="12700">
          <a:solidFill>
            <a:srgbClr val="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wsDr>
</file>

<file path=xl/theme/theme1.xml><?xml version="1.0" encoding="utf-8"?>
<a:theme xmlns:a="http://schemas.openxmlformats.org/drawingml/2006/main" name="Office Theme">
  <a:themeElements>
    <a:clrScheme name="TM16400962">
      <a:dk1>
        <a:srgbClr val="000000"/>
      </a:dk1>
      <a:lt1>
        <a:srgbClr val="FFFFFF"/>
      </a:lt1>
      <a:dk2>
        <a:srgbClr val="0E2841"/>
      </a:dk2>
      <a:lt2>
        <a:srgbClr val="E8E8E8"/>
      </a:lt2>
      <a:accent1>
        <a:srgbClr val="6528F7"/>
      </a:accent1>
      <a:accent2>
        <a:srgbClr val="D800A6"/>
      </a:accent2>
      <a:accent3>
        <a:srgbClr val="7ECA9C"/>
      </a:accent3>
      <a:accent4>
        <a:srgbClr val="00ABB3"/>
      </a:accent4>
      <a:accent5>
        <a:srgbClr val="FFE227"/>
      </a:accent5>
      <a:accent6>
        <a:srgbClr val="1363DF"/>
      </a:accent6>
      <a:hlink>
        <a:srgbClr val="467886"/>
      </a:hlink>
      <a:folHlink>
        <a:srgbClr val="96607D"/>
      </a:folHlink>
    </a:clrScheme>
    <a:fontScheme name="Custom 32">
      <a:majorFont>
        <a:latin typeface="Arial Black"/>
        <a:ea typeface=""/>
        <a:cs typeface=""/>
      </a:majorFont>
      <a:minorFont>
        <a:latin typeface="Arial"/>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BQ47"/>
  <sheetViews>
    <sheetView showGridLines="0" tabSelected="1" showRuler="0" zoomScale="70" zoomScaleNormal="70" zoomScalePageLayoutView="70" workbookViewId="0">
      <selection activeCell="E44" sqref="E44"/>
    </sheetView>
  </sheetViews>
  <sheetFormatPr defaultColWidth="8.69921875" defaultRowHeight="30" customHeight="1" x14ac:dyDescent="0.25"/>
  <cols>
    <col min="1" max="1" width="2.69921875" style="6" customWidth="1"/>
    <col min="2" max="2" width="59.19921875" customWidth="1"/>
    <col min="3" max="3" width="10.69921875" style="2" customWidth="1"/>
    <col min="4" max="4" width="10.69921875" customWidth="1"/>
    <col min="5" max="5" width="21" bestFit="1" customWidth="1"/>
    <col min="6" max="6" width="6" hidden="1" customWidth="1"/>
    <col min="7" max="63" width="2.69921875" customWidth="1"/>
  </cols>
  <sheetData>
    <row r="1" spans="1:69" ht="87" customHeight="1" x14ac:dyDescent="0.7">
      <c r="A1" s="7"/>
      <c r="B1" s="54" t="s">
        <v>41</v>
      </c>
      <c r="C1" s="9"/>
      <c r="D1" s="10"/>
      <c r="F1" s="1"/>
      <c r="G1" s="72" t="s">
        <v>2</v>
      </c>
      <c r="H1" s="73"/>
      <c r="I1" s="73"/>
      <c r="J1" s="73"/>
      <c r="K1" s="73"/>
      <c r="L1" s="73"/>
      <c r="M1" s="73"/>
      <c r="N1" s="13"/>
      <c r="O1" s="70">
        <v>46051</v>
      </c>
      <c r="P1" s="71"/>
      <c r="Q1" s="71"/>
      <c r="R1" s="71"/>
      <c r="S1" s="71"/>
      <c r="T1" s="71"/>
      <c r="U1" s="71"/>
      <c r="V1" s="71"/>
      <c r="W1" s="71"/>
      <c r="X1" s="71"/>
    </row>
    <row r="2" spans="1:69" ht="30" customHeight="1" x14ac:dyDescent="0.6">
      <c r="B2" s="52" t="s">
        <v>42</v>
      </c>
      <c r="C2" s="12"/>
      <c r="D2" s="11"/>
      <c r="G2" s="72" t="s">
        <v>3</v>
      </c>
      <c r="H2" s="73"/>
      <c r="I2" s="73"/>
      <c r="J2" s="73"/>
      <c r="K2" s="73"/>
      <c r="L2" s="73"/>
      <c r="M2" s="73"/>
      <c r="N2" s="13"/>
      <c r="O2" s="83">
        <v>1</v>
      </c>
      <c r="P2" s="71"/>
      <c r="Q2" s="71"/>
      <c r="R2" s="71"/>
      <c r="S2" s="71"/>
      <c r="T2" s="71"/>
      <c r="U2" s="71"/>
      <c r="V2" s="71"/>
      <c r="W2" s="71"/>
      <c r="X2" s="71"/>
    </row>
    <row r="3" spans="1:69" s="15" customFormat="1" ht="30" customHeight="1" x14ac:dyDescent="0.25">
      <c r="A3" s="6"/>
      <c r="B3" s="14"/>
      <c r="C3" s="16"/>
    </row>
    <row r="4" spans="1:69" s="15" customFormat="1" ht="30" customHeight="1" x14ac:dyDescent="0.25">
      <c r="A4" s="7"/>
      <c r="B4" s="17"/>
      <c r="C4" s="18"/>
      <c r="G4" s="77"/>
      <c r="H4" s="75"/>
      <c r="I4" s="75"/>
      <c r="J4" s="75"/>
      <c r="K4" s="75"/>
      <c r="L4" s="75"/>
      <c r="M4" s="75"/>
      <c r="N4" s="75"/>
      <c r="O4" s="75"/>
      <c r="P4" s="75"/>
      <c r="Q4" s="75"/>
      <c r="R4" s="75"/>
      <c r="S4" s="75"/>
      <c r="T4" s="75"/>
      <c r="U4" s="75"/>
      <c r="V4" s="75"/>
      <c r="W4" s="75"/>
      <c r="X4" s="75"/>
      <c r="Y4" s="75"/>
      <c r="Z4" s="75"/>
      <c r="AA4" s="75"/>
      <c r="AB4" s="75"/>
      <c r="AC4" s="75"/>
      <c r="AD4" s="75"/>
      <c r="AE4" s="75"/>
      <c r="AF4" s="75"/>
      <c r="AG4" s="75"/>
      <c r="AH4" s="75"/>
      <c r="AI4" s="75"/>
      <c r="AJ4" s="75"/>
      <c r="AK4" s="75"/>
      <c r="AL4" s="75"/>
      <c r="AM4" s="75"/>
      <c r="AN4" s="75"/>
      <c r="AO4" s="75"/>
      <c r="AP4" s="75"/>
      <c r="AQ4" s="75"/>
      <c r="AR4" s="75"/>
      <c r="AS4" s="75"/>
      <c r="AT4" s="75"/>
      <c r="AU4" s="75"/>
      <c r="AV4" s="75"/>
      <c r="AW4" s="75"/>
      <c r="AX4" s="75"/>
      <c r="AY4" s="75"/>
      <c r="AZ4" s="75"/>
      <c r="BA4" s="75"/>
      <c r="BB4" s="75"/>
      <c r="BC4" s="75"/>
      <c r="BD4" s="75"/>
      <c r="BE4" s="75"/>
      <c r="BF4" s="75"/>
      <c r="BG4" s="75"/>
      <c r="BH4" s="75"/>
      <c r="BI4" s="75"/>
      <c r="BJ4" s="76"/>
      <c r="BK4" s="75"/>
      <c r="BL4" s="75"/>
      <c r="BM4" s="75"/>
      <c r="BN4" s="75"/>
      <c r="BO4" s="75"/>
      <c r="BP4" s="75"/>
      <c r="BQ4" s="76"/>
    </row>
    <row r="5" spans="1:69" s="15" customFormat="1" ht="15" customHeight="1" x14ac:dyDescent="0.25">
      <c r="A5" s="78"/>
      <c r="B5" s="79" t="s">
        <v>0</v>
      </c>
      <c r="C5" s="81" t="s">
        <v>43</v>
      </c>
      <c r="D5" s="81" t="s">
        <v>44</v>
      </c>
      <c r="E5" s="74" t="s">
        <v>45</v>
      </c>
      <c r="G5" s="19"/>
      <c r="H5" s="19"/>
      <c r="I5" s="19"/>
      <c r="J5" s="19"/>
      <c r="K5" s="19"/>
      <c r="L5" s="19"/>
      <c r="M5" s="20"/>
      <c r="N5" s="21"/>
      <c r="O5" s="19"/>
      <c r="P5" s="19"/>
      <c r="Q5" s="19"/>
      <c r="R5" s="19"/>
      <c r="S5" s="19"/>
      <c r="T5" s="20"/>
      <c r="U5" s="21"/>
      <c r="V5" s="19"/>
      <c r="W5" s="19"/>
      <c r="X5" s="19"/>
      <c r="Y5" s="19"/>
      <c r="Z5" s="19"/>
      <c r="AA5" s="20"/>
      <c r="AB5" s="21"/>
      <c r="AC5" s="19"/>
      <c r="AD5" s="19"/>
      <c r="AE5" s="19"/>
      <c r="AF5" s="19"/>
      <c r="AG5" s="19"/>
      <c r="AH5" s="20"/>
      <c r="AI5" s="21"/>
      <c r="AJ5" s="19"/>
      <c r="AK5" s="19"/>
      <c r="AL5" s="19"/>
      <c r="AM5" s="19"/>
      <c r="AN5" s="19"/>
      <c r="AO5" s="20"/>
      <c r="AP5" s="21"/>
      <c r="AQ5" s="19"/>
      <c r="AR5" s="19"/>
      <c r="AS5" s="19"/>
      <c r="AT5" s="19"/>
      <c r="AU5" s="19"/>
      <c r="AV5" s="20"/>
      <c r="AW5" s="21"/>
      <c r="AX5" s="19"/>
      <c r="AY5" s="19"/>
      <c r="AZ5" s="19"/>
      <c r="BA5" s="19"/>
      <c r="BB5" s="19"/>
      <c r="BC5" s="20"/>
      <c r="BD5" s="21"/>
      <c r="BE5" s="19"/>
      <c r="BF5" s="19"/>
      <c r="BG5" s="19"/>
      <c r="BH5" s="19"/>
      <c r="BI5" s="19"/>
      <c r="BJ5" s="19"/>
    </row>
    <row r="6" spans="1:69" s="15" customFormat="1" ht="15" customHeight="1" thickBot="1" x14ac:dyDescent="0.3">
      <c r="A6" s="78"/>
      <c r="B6" s="80"/>
      <c r="C6" s="82"/>
      <c r="D6" s="82"/>
      <c r="E6" s="74"/>
      <c r="G6" s="22"/>
      <c r="H6" s="23"/>
      <c r="I6" s="23"/>
      <c r="J6" s="23"/>
      <c r="K6" s="23"/>
      <c r="L6" s="23"/>
      <c r="M6" s="23"/>
      <c r="N6" s="23"/>
      <c r="O6" s="23"/>
      <c r="P6" s="23"/>
      <c r="Q6" s="23"/>
      <c r="R6" s="23"/>
      <c r="S6" s="23"/>
      <c r="T6" s="23"/>
      <c r="U6" s="23"/>
      <c r="V6" s="23"/>
      <c r="W6" s="23"/>
      <c r="X6" s="23"/>
      <c r="Y6" s="23"/>
      <c r="Z6" s="23"/>
      <c r="AA6" s="23"/>
      <c r="AB6" s="23"/>
      <c r="AC6" s="23"/>
      <c r="AD6" s="23"/>
      <c r="AE6" s="23"/>
      <c r="AF6" s="23"/>
      <c r="AG6" s="23"/>
      <c r="AH6" s="23"/>
      <c r="AI6" s="23"/>
      <c r="AJ6" s="23"/>
      <c r="AK6" s="23"/>
      <c r="AL6" s="23"/>
      <c r="AM6" s="23"/>
      <c r="AN6" s="23"/>
      <c r="AO6" s="23"/>
      <c r="AP6" s="23"/>
      <c r="AQ6" s="23"/>
      <c r="AR6" s="23"/>
      <c r="AS6" s="23"/>
      <c r="AT6" s="23"/>
      <c r="AU6" s="23"/>
      <c r="AV6" s="23"/>
      <c r="AW6" s="23"/>
      <c r="AX6" s="23"/>
      <c r="AY6" s="23"/>
      <c r="AZ6" s="23"/>
      <c r="BA6" s="23"/>
      <c r="BB6" s="23"/>
      <c r="BC6" s="23"/>
      <c r="BD6" s="23"/>
      <c r="BE6" s="23"/>
      <c r="BF6" s="23"/>
      <c r="BG6" s="23"/>
      <c r="BH6" s="23"/>
      <c r="BI6" s="23"/>
      <c r="BJ6" s="24"/>
    </row>
    <row r="7" spans="1:69" s="15" customFormat="1" ht="30" hidden="1" customHeight="1" thickBot="1" x14ac:dyDescent="0.3">
      <c r="A7" s="6" t="s">
        <v>1</v>
      </c>
      <c r="B7" s="25"/>
      <c r="C7" s="25"/>
      <c r="D7" s="25"/>
      <c r="F7" s="15" t="str">
        <f>IF(OR(ISBLANK(task_start),ISBLANK(task_end)),"",task_end-task_start+1)</f>
        <v/>
      </c>
      <c r="G7" s="26"/>
      <c r="H7" s="26"/>
      <c r="I7" s="26"/>
      <c r="J7" s="26"/>
      <c r="K7" s="26"/>
      <c r="L7" s="26"/>
      <c r="M7" s="26"/>
      <c r="N7" s="26"/>
      <c r="O7" s="26"/>
      <c r="P7" s="26"/>
      <c r="Q7" s="26"/>
      <c r="R7" s="26"/>
      <c r="S7" s="26"/>
      <c r="T7" s="26"/>
      <c r="U7" s="26"/>
      <c r="V7" s="26"/>
      <c r="W7" s="26"/>
      <c r="X7" s="26"/>
      <c r="Y7" s="26"/>
      <c r="Z7" s="26"/>
      <c r="AA7" s="26"/>
      <c r="AB7" s="26"/>
      <c r="AC7" s="26"/>
      <c r="AD7" s="26"/>
      <c r="AE7" s="26"/>
      <c r="AF7" s="26"/>
      <c r="AG7" s="26"/>
      <c r="AH7" s="26"/>
      <c r="AI7" s="26"/>
      <c r="AJ7" s="26"/>
      <c r="AK7" s="26"/>
      <c r="AL7" s="26"/>
      <c r="AM7" s="26"/>
      <c r="AN7" s="26"/>
      <c r="AO7" s="26"/>
      <c r="AP7" s="26"/>
      <c r="AQ7" s="26"/>
      <c r="AR7" s="26"/>
      <c r="AS7" s="26"/>
      <c r="AT7" s="26"/>
      <c r="AU7" s="26"/>
      <c r="AV7" s="26"/>
      <c r="AW7" s="26"/>
      <c r="AX7" s="26"/>
      <c r="AY7" s="26"/>
      <c r="AZ7" s="26"/>
      <c r="BA7" s="26"/>
      <c r="BB7" s="26"/>
      <c r="BC7" s="26"/>
      <c r="BD7" s="26"/>
      <c r="BE7" s="26"/>
      <c r="BF7" s="26"/>
      <c r="BG7" s="26"/>
      <c r="BH7" s="26"/>
      <c r="BI7" s="26"/>
      <c r="BJ7" s="26"/>
    </row>
    <row r="8" spans="1:69" s="30" customFormat="1" ht="30" customHeight="1" thickBot="1" x14ac:dyDescent="0.3">
      <c r="A8" s="7"/>
      <c r="B8" s="57" t="s">
        <v>9</v>
      </c>
      <c r="C8" s="27"/>
      <c r="D8" s="28"/>
      <c r="E8" s="8"/>
      <c r="F8" s="4" t="str">
        <f t="shared" ref="F8:F42" si="0">IF(OR(ISBLANK(task_start),ISBLANK(task_end)),"",task_end-task_start+1)</f>
        <v/>
      </c>
      <c r="G8" s="29"/>
      <c r="H8" s="29"/>
      <c r="I8" s="29"/>
      <c r="J8" s="29"/>
      <c r="K8" s="29"/>
      <c r="L8" s="29"/>
      <c r="M8" s="29"/>
      <c r="N8" s="29"/>
      <c r="O8" s="29"/>
      <c r="P8" s="29"/>
      <c r="Q8" s="29"/>
      <c r="R8" s="29"/>
      <c r="S8" s="29"/>
      <c r="T8" s="29"/>
      <c r="U8" s="29"/>
      <c r="V8" s="29"/>
      <c r="W8" s="29"/>
      <c r="X8" s="29"/>
      <c r="Y8" s="29"/>
      <c r="Z8" s="29"/>
      <c r="AA8" s="29"/>
      <c r="AB8" s="29"/>
      <c r="AC8" s="29"/>
      <c r="AD8" s="29"/>
      <c r="AE8" s="29"/>
      <c r="AF8" s="29"/>
      <c r="AG8" s="29"/>
      <c r="AH8" s="29"/>
      <c r="AI8" s="32"/>
      <c r="AJ8" s="29"/>
      <c r="AK8" s="29"/>
      <c r="AL8" s="29"/>
      <c r="AM8" s="29"/>
      <c r="AN8" s="29"/>
      <c r="AO8" s="29"/>
      <c r="AP8" s="29"/>
      <c r="AQ8" s="29"/>
      <c r="AR8" s="29"/>
      <c r="AS8" s="29"/>
      <c r="AT8" s="29"/>
      <c r="AU8" s="29"/>
      <c r="AV8" s="29"/>
      <c r="AW8" s="29"/>
      <c r="AX8" s="29"/>
      <c r="AY8" s="29"/>
      <c r="AZ8" s="29"/>
      <c r="BA8" s="29"/>
      <c r="BB8" s="29"/>
      <c r="BC8" s="29"/>
      <c r="BD8" s="29"/>
      <c r="BE8" s="29"/>
      <c r="BF8" s="29"/>
      <c r="BG8" s="29"/>
      <c r="BH8" s="29"/>
      <c r="BI8" s="29"/>
      <c r="BJ8" s="29"/>
    </row>
    <row r="9" spans="1:69" s="30" customFormat="1" ht="30" customHeight="1" thickBot="1" x14ac:dyDescent="0.3">
      <c r="A9" s="7"/>
      <c r="B9" s="58" t="s">
        <v>4</v>
      </c>
      <c r="C9" s="31">
        <v>46051</v>
      </c>
      <c r="D9" s="31">
        <f>C9+3</f>
        <v>46054</v>
      </c>
      <c r="E9" s="8">
        <v>3</v>
      </c>
      <c r="F9" s="4">
        <f t="shared" si="0"/>
        <v>4</v>
      </c>
      <c r="G9" s="32"/>
      <c r="H9" s="32"/>
      <c r="I9" s="32"/>
      <c r="J9" s="32"/>
      <c r="K9" s="32"/>
      <c r="L9" s="32"/>
      <c r="M9" s="32"/>
      <c r="N9" s="32"/>
      <c r="O9" s="32"/>
      <c r="P9" s="32"/>
      <c r="Q9" s="32"/>
      <c r="R9" s="32"/>
      <c r="S9" s="32"/>
      <c r="T9" s="32"/>
      <c r="U9" s="32"/>
      <c r="V9" s="32"/>
      <c r="W9" s="32"/>
      <c r="X9" s="32"/>
      <c r="Y9" s="32"/>
      <c r="Z9" s="32"/>
      <c r="AA9" s="32"/>
      <c r="AB9" s="32"/>
      <c r="AC9" s="32"/>
      <c r="AD9" s="32"/>
      <c r="AE9" s="32"/>
      <c r="AF9" s="32"/>
      <c r="AG9" s="32"/>
      <c r="AH9" s="32"/>
      <c r="AI9" s="32"/>
      <c r="AJ9" s="32"/>
      <c r="AK9" s="32"/>
      <c r="AL9" s="32"/>
      <c r="AM9" s="32"/>
      <c r="AN9" s="32"/>
      <c r="AO9" s="32"/>
      <c r="AP9" s="32"/>
      <c r="AQ9" s="32"/>
      <c r="AR9" s="32"/>
      <c r="AS9" s="32"/>
      <c r="AT9" s="32"/>
      <c r="AU9" s="32"/>
      <c r="AV9" s="32"/>
      <c r="AW9" s="32"/>
      <c r="AX9" s="32"/>
      <c r="AY9" s="32"/>
      <c r="AZ9" s="32"/>
      <c r="BA9" s="32"/>
      <c r="BB9" s="32"/>
      <c r="BC9" s="32"/>
      <c r="BD9" s="32"/>
      <c r="BE9" s="32"/>
      <c r="BF9" s="32"/>
      <c r="BG9" s="32"/>
      <c r="BH9" s="32"/>
      <c r="BI9" s="32"/>
      <c r="BJ9" s="32"/>
    </row>
    <row r="10" spans="1:69" s="30" customFormat="1" ht="30" customHeight="1" thickBot="1" x14ac:dyDescent="0.3">
      <c r="A10" s="7"/>
      <c r="B10" s="59" t="s">
        <v>8</v>
      </c>
      <c r="C10" s="33">
        <f>D9</f>
        <v>46054</v>
      </c>
      <c r="D10" s="33">
        <f>C10+22</f>
        <v>46076</v>
      </c>
      <c r="E10" s="8">
        <v>22</v>
      </c>
      <c r="F10" s="4">
        <f t="shared" si="0"/>
        <v>23</v>
      </c>
      <c r="G10" s="32"/>
      <c r="H10" s="32"/>
      <c r="I10" s="32"/>
      <c r="J10" s="32"/>
      <c r="K10" s="32"/>
      <c r="L10" s="32"/>
      <c r="M10" s="32"/>
      <c r="N10" s="32"/>
      <c r="O10" s="32"/>
      <c r="P10" s="32"/>
      <c r="Q10" s="32"/>
      <c r="R10" s="32"/>
      <c r="S10" s="34"/>
      <c r="T10" s="34"/>
      <c r="U10" s="32"/>
      <c r="V10" s="32"/>
      <c r="W10" s="32"/>
      <c r="X10" s="32"/>
      <c r="Y10" s="32"/>
      <c r="Z10" s="32"/>
      <c r="AA10" s="32"/>
      <c r="AB10" s="32"/>
      <c r="AC10" s="32"/>
      <c r="AD10" s="32"/>
      <c r="AE10" s="32"/>
      <c r="AF10" s="32"/>
      <c r="AG10" s="32"/>
      <c r="AH10" s="32"/>
      <c r="AI10" s="32"/>
      <c r="AJ10" s="32"/>
      <c r="AK10" s="32"/>
      <c r="AL10" s="32"/>
      <c r="AM10" s="32"/>
      <c r="AN10" s="32"/>
      <c r="AO10" s="32"/>
      <c r="AP10" s="32"/>
      <c r="AQ10" s="32"/>
      <c r="AR10" s="32"/>
      <c r="AS10" s="32"/>
      <c r="AT10" s="32"/>
      <c r="AU10" s="32"/>
      <c r="AV10" s="32"/>
      <c r="AW10" s="32"/>
      <c r="AX10" s="32"/>
      <c r="AY10" s="32"/>
      <c r="AZ10" s="32"/>
      <c r="BA10" s="32"/>
      <c r="BB10" s="32"/>
      <c r="BC10" s="32"/>
      <c r="BD10" s="32"/>
      <c r="BE10" s="32"/>
      <c r="BF10" s="32"/>
      <c r="BG10" s="32"/>
      <c r="BH10" s="32"/>
      <c r="BI10" s="32"/>
      <c r="BJ10" s="32"/>
    </row>
    <row r="11" spans="1:69" s="30" customFormat="1" ht="30" customHeight="1" thickBot="1" x14ac:dyDescent="0.3">
      <c r="A11" s="6"/>
      <c r="B11" s="59" t="s">
        <v>5</v>
      </c>
      <c r="C11" s="33">
        <f>D10</f>
        <v>46076</v>
      </c>
      <c r="D11" s="33">
        <f>C11+5</f>
        <v>46081</v>
      </c>
      <c r="E11" s="8">
        <v>5</v>
      </c>
      <c r="F11" s="4">
        <f t="shared" si="0"/>
        <v>6</v>
      </c>
      <c r="G11" s="32"/>
      <c r="H11" s="32"/>
      <c r="I11" s="32"/>
      <c r="J11" s="32"/>
      <c r="K11" s="32"/>
      <c r="L11" s="32"/>
      <c r="M11" s="32"/>
      <c r="N11" s="32"/>
      <c r="O11" s="32"/>
      <c r="P11" s="32"/>
      <c r="Q11" s="32"/>
      <c r="R11" s="32"/>
      <c r="S11" s="32"/>
      <c r="T11" s="32"/>
      <c r="U11" s="32"/>
      <c r="V11" s="32"/>
      <c r="W11" s="32"/>
      <c r="X11" s="32"/>
      <c r="Y11" s="32"/>
      <c r="Z11" s="32"/>
      <c r="AA11" s="32"/>
      <c r="AB11" s="32"/>
      <c r="AC11" s="32"/>
      <c r="AD11" s="32"/>
      <c r="AE11" s="32"/>
      <c r="AF11" s="32"/>
      <c r="AG11" s="32"/>
      <c r="AH11" s="32"/>
      <c r="AI11" s="32"/>
      <c r="AJ11" s="32"/>
      <c r="AK11" s="32"/>
      <c r="AL11" s="32"/>
      <c r="AM11" s="32"/>
      <c r="AN11" s="32"/>
      <c r="AO11" s="32"/>
      <c r="AP11" s="32"/>
      <c r="AQ11" s="32"/>
      <c r="AR11" s="32"/>
      <c r="AS11" s="32"/>
      <c r="AT11" s="32"/>
      <c r="AU11" s="32"/>
      <c r="AV11" s="32"/>
      <c r="AW11" s="32"/>
      <c r="AX11" s="32"/>
      <c r="AY11" s="32"/>
      <c r="AZ11" s="32"/>
      <c r="BA11" s="32"/>
      <c r="BB11" s="32"/>
      <c r="BC11" s="32"/>
      <c r="BD11" s="32"/>
      <c r="BE11" s="32"/>
      <c r="BF11" s="32"/>
      <c r="BG11" s="32"/>
      <c r="BH11" s="32"/>
      <c r="BI11" s="32"/>
      <c r="BJ11" s="32"/>
    </row>
    <row r="12" spans="1:69" s="30" customFormat="1" ht="30" customHeight="1" thickBot="1" x14ac:dyDescent="0.3">
      <c r="A12" s="6"/>
      <c r="B12" s="59" t="s">
        <v>6</v>
      </c>
      <c r="C12" s="33">
        <f>D11</f>
        <v>46081</v>
      </c>
      <c r="D12" s="33">
        <f>C12+3</f>
        <v>46084</v>
      </c>
      <c r="E12" s="8">
        <v>3</v>
      </c>
      <c r="F12" s="4">
        <f t="shared" si="0"/>
        <v>4</v>
      </c>
      <c r="G12" s="32"/>
      <c r="H12" s="32"/>
      <c r="I12" s="32"/>
      <c r="J12" s="32"/>
      <c r="K12" s="32"/>
      <c r="L12" s="32"/>
      <c r="M12" s="32"/>
      <c r="N12" s="32"/>
      <c r="O12" s="32"/>
      <c r="P12" s="32"/>
      <c r="Q12" s="32"/>
      <c r="R12" s="32"/>
      <c r="S12" s="32"/>
      <c r="T12" s="32"/>
      <c r="U12" s="32"/>
      <c r="V12" s="32"/>
      <c r="W12" s="34"/>
      <c r="X12" s="32"/>
      <c r="Y12" s="32"/>
      <c r="Z12" s="32"/>
      <c r="AA12" s="32"/>
      <c r="AB12" s="32"/>
      <c r="AC12" s="32"/>
      <c r="AD12" s="32"/>
      <c r="AE12" s="32"/>
      <c r="AF12" s="32"/>
      <c r="AG12" s="32"/>
      <c r="AH12" s="32"/>
      <c r="AI12" s="32"/>
      <c r="AJ12" s="32"/>
      <c r="AK12" s="32"/>
      <c r="AL12" s="32"/>
      <c r="AM12" s="32"/>
      <c r="AN12" s="32"/>
      <c r="AO12" s="32"/>
      <c r="AP12" s="32"/>
      <c r="AQ12" s="32"/>
      <c r="AR12" s="32"/>
      <c r="AS12" s="32"/>
      <c r="AT12" s="32"/>
      <c r="AU12" s="32"/>
      <c r="AV12" s="32"/>
      <c r="AW12" s="32"/>
      <c r="AX12" s="32"/>
      <c r="AY12" s="32"/>
      <c r="AZ12" s="32"/>
      <c r="BA12" s="32"/>
      <c r="BB12" s="32"/>
      <c r="BC12" s="32"/>
      <c r="BD12" s="32"/>
      <c r="BE12" s="32"/>
      <c r="BF12" s="32"/>
      <c r="BG12" s="32"/>
      <c r="BH12" s="32"/>
      <c r="BI12" s="32"/>
      <c r="BJ12" s="32"/>
    </row>
    <row r="13" spans="1:69" s="30" customFormat="1" ht="30" customHeight="1" thickBot="1" x14ac:dyDescent="0.3">
      <c r="A13" s="6"/>
      <c r="B13" s="59" t="s">
        <v>7</v>
      </c>
      <c r="C13" s="33">
        <f>D12</f>
        <v>46084</v>
      </c>
      <c r="D13" s="33">
        <f>C13+5</f>
        <v>46089</v>
      </c>
      <c r="E13" s="8">
        <v>5</v>
      </c>
      <c r="F13" s="4">
        <f t="shared" si="0"/>
        <v>6</v>
      </c>
      <c r="G13" s="32"/>
      <c r="H13" s="32"/>
      <c r="I13" s="32"/>
      <c r="J13" s="32"/>
      <c r="K13" s="32"/>
      <c r="L13" s="32"/>
      <c r="M13" s="32"/>
      <c r="N13" s="32"/>
      <c r="O13" s="32"/>
      <c r="P13" s="32"/>
      <c r="Q13" s="32"/>
      <c r="R13" s="32"/>
      <c r="S13" s="32"/>
      <c r="T13" s="32"/>
      <c r="U13" s="32"/>
      <c r="V13" s="32"/>
      <c r="W13" s="32"/>
      <c r="X13" s="32"/>
      <c r="Y13" s="32"/>
      <c r="Z13" s="32"/>
      <c r="AA13" s="32"/>
      <c r="AB13" s="32"/>
      <c r="AC13" s="32"/>
      <c r="AD13" s="32"/>
      <c r="AE13" s="32"/>
      <c r="AF13" s="32"/>
      <c r="AG13" s="32"/>
      <c r="AH13" s="32"/>
      <c r="AI13" s="32"/>
      <c r="AJ13" s="32"/>
      <c r="AK13" s="32"/>
      <c r="AL13" s="32"/>
      <c r="AM13" s="32"/>
      <c r="AN13" s="32"/>
      <c r="AO13" s="32"/>
      <c r="AP13" s="32"/>
      <c r="AQ13" s="32"/>
      <c r="AR13" s="32"/>
      <c r="AS13" s="32"/>
      <c r="AT13" s="32"/>
      <c r="AU13" s="32"/>
      <c r="AV13" s="32"/>
      <c r="AW13" s="32"/>
      <c r="AX13" s="32"/>
      <c r="AY13" s="32"/>
      <c r="AZ13" s="32"/>
      <c r="BA13" s="32"/>
      <c r="BB13" s="32"/>
      <c r="BC13" s="32"/>
      <c r="BD13" s="32"/>
      <c r="BE13" s="32"/>
      <c r="BF13" s="32"/>
      <c r="BG13" s="32"/>
      <c r="BH13" s="32"/>
      <c r="BI13" s="32"/>
      <c r="BJ13" s="32"/>
    </row>
    <row r="14" spans="1:69" s="30" customFormat="1" ht="30" customHeight="1" thickBot="1" x14ac:dyDescent="0.3">
      <c r="A14" s="6"/>
      <c r="B14" s="60" t="s">
        <v>46</v>
      </c>
      <c r="C14" s="55"/>
      <c r="D14" s="55"/>
      <c r="E14" s="8"/>
      <c r="F14" s="4"/>
    </row>
    <row r="15" spans="1:69" s="30" customFormat="1" ht="30" customHeight="1" thickBot="1" x14ac:dyDescent="0.3">
      <c r="A15" s="7"/>
      <c r="B15" s="61" t="s">
        <v>10</v>
      </c>
      <c r="C15" s="35"/>
      <c r="D15" s="36"/>
      <c r="E15" s="8"/>
      <c r="F15" s="4" t="str">
        <f t="shared" si="0"/>
        <v/>
      </c>
    </row>
    <row r="16" spans="1:69" s="30" customFormat="1" ht="30" customHeight="1" thickBot="1" x14ac:dyDescent="0.3">
      <c r="A16" s="7"/>
      <c r="B16" s="62" t="s">
        <v>15</v>
      </c>
      <c r="C16" s="37">
        <f>D13+1</f>
        <v>46090</v>
      </c>
      <c r="D16" s="37">
        <f>C16+20</f>
        <v>46110</v>
      </c>
      <c r="E16" s="8">
        <v>20</v>
      </c>
      <c r="F16" s="4">
        <f t="shared" si="0"/>
        <v>21</v>
      </c>
      <c r="G16" s="32"/>
      <c r="H16" s="32"/>
      <c r="I16" s="32"/>
      <c r="J16" s="32"/>
      <c r="K16" s="32"/>
      <c r="L16" s="32"/>
      <c r="M16" s="32"/>
      <c r="N16" s="32"/>
      <c r="O16" s="32"/>
      <c r="P16" s="32"/>
      <c r="Q16" s="32"/>
      <c r="R16" s="32"/>
      <c r="S16" s="32"/>
      <c r="T16" s="32"/>
      <c r="U16" s="32"/>
      <c r="V16" s="32"/>
      <c r="W16" s="32"/>
      <c r="X16" s="32"/>
      <c r="Y16" s="32"/>
      <c r="Z16" s="32"/>
      <c r="AA16" s="32"/>
      <c r="AB16" s="32"/>
      <c r="AC16" s="32"/>
      <c r="AD16" s="32"/>
      <c r="AE16" s="32"/>
      <c r="AF16" s="32"/>
      <c r="AG16" s="32"/>
      <c r="AH16" s="32"/>
      <c r="AI16" s="32"/>
      <c r="AJ16" s="32"/>
      <c r="AK16" s="32"/>
      <c r="AL16" s="32"/>
      <c r="AM16" s="32"/>
      <c r="AN16" s="32"/>
      <c r="AO16" s="32"/>
      <c r="AP16" s="32"/>
      <c r="AQ16" s="32"/>
      <c r="AR16" s="32"/>
      <c r="AS16" s="32"/>
      <c r="AT16" s="32"/>
      <c r="AU16" s="32"/>
      <c r="AV16" s="32"/>
      <c r="AW16" s="32"/>
      <c r="AX16" s="32"/>
      <c r="AY16" s="32"/>
      <c r="AZ16" s="32"/>
      <c r="BA16" s="32"/>
      <c r="BB16" s="32"/>
      <c r="BC16" s="32"/>
      <c r="BD16" s="32"/>
      <c r="BE16" s="32"/>
      <c r="BF16" s="32"/>
      <c r="BG16" s="32"/>
      <c r="BH16" s="32"/>
      <c r="BI16" s="32"/>
      <c r="BJ16" s="32"/>
    </row>
    <row r="17" spans="1:62" s="30" customFormat="1" ht="30" customHeight="1" thickBot="1" x14ac:dyDescent="0.3">
      <c r="A17" s="6"/>
      <c r="B17" s="62" t="s">
        <v>14</v>
      </c>
      <c r="C17" s="37">
        <f>D16+1</f>
        <v>46111</v>
      </c>
      <c r="D17" s="37">
        <f>C17+5</f>
        <v>46116</v>
      </c>
      <c r="E17" s="8">
        <v>5</v>
      </c>
      <c r="F17" s="4">
        <f t="shared" si="0"/>
        <v>6</v>
      </c>
      <c r="G17" s="32"/>
      <c r="H17" s="32"/>
      <c r="I17" s="32"/>
      <c r="J17" s="32"/>
      <c r="K17" s="32"/>
      <c r="L17" s="32"/>
      <c r="M17" s="32"/>
      <c r="N17" s="32"/>
      <c r="O17" s="32"/>
      <c r="P17" s="32"/>
      <c r="Q17" s="32"/>
      <c r="R17" s="32"/>
      <c r="S17" s="34"/>
      <c r="T17" s="34"/>
      <c r="U17" s="32"/>
      <c r="V17" s="32"/>
      <c r="W17" s="32"/>
      <c r="X17" s="32"/>
      <c r="Y17" s="32"/>
      <c r="Z17" s="32"/>
      <c r="AA17" s="32"/>
      <c r="AB17" s="32"/>
      <c r="AC17" s="32"/>
      <c r="AD17" s="32"/>
      <c r="AE17" s="32"/>
      <c r="AF17" s="32"/>
      <c r="AG17" s="32"/>
      <c r="AH17" s="32"/>
      <c r="AI17" s="32"/>
      <c r="AJ17" s="32"/>
      <c r="AK17" s="32"/>
      <c r="AL17" s="32"/>
      <c r="AM17" s="32"/>
      <c r="AN17" s="32"/>
      <c r="AO17" s="32"/>
      <c r="AP17" s="32"/>
      <c r="AQ17" s="32"/>
      <c r="AR17" s="32"/>
      <c r="AS17" s="32"/>
      <c r="AT17" s="32"/>
      <c r="AU17" s="32"/>
      <c r="AV17" s="32"/>
      <c r="AW17" s="32"/>
      <c r="AX17" s="32"/>
      <c r="AY17" s="32"/>
      <c r="AZ17" s="32"/>
      <c r="BA17" s="32"/>
      <c r="BB17" s="32"/>
      <c r="BC17" s="32"/>
      <c r="BD17" s="32"/>
      <c r="BE17" s="32"/>
      <c r="BF17" s="32"/>
      <c r="BG17" s="32"/>
      <c r="BH17" s="32"/>
      <c r="BI17" s="32"/>
      <c r="BJ17" s="32"/>
    </row>
    <row r="18" spans="1:62" s="30" customFormat="1" ht="30" customHeight="1" thickBot="1" x14ac:dyDescent="0.3">
      <c r="A18" s="6"/>
      <c r="B18" s="62" t="s">
        <v>13</v>
      </c>
      <c r="C18" s="37">
        <f>D17</f>
        <v>46116</v>
      </c>
      <c r="D18" s="37">
        <f>C18+5</f>
        <v>46121</v>
      </c>
      <c r="E18" s="8">
        <v>5</v>
      </c>
      <c r="F18" s="4">
        <f t="shared" si="0"/>
        <v>6</v>
      </c>
      <c r="G18" s="32"/>
      <c r="H18" s="32"/>
      <c r="I18" s="32"/>
      <c r="J18" s="32"/>
      <c r="K18" s="32"/>
      <c r="L18" s="32"/>
      <c r="M18" s="32"/>
      <c r="N18" s="32"/>
      <c r="O18" s="32"/>
      <c r="P18" s="32"/>
      <c r="Q18" s="32"/>
      <c r="R18" s="32"/>
      <c r="S18" s="32"/>
      <c r="T18" s="32"/>
      <c r="U18" s="32"/>
      <c r="V18" s="32"/>
      <c r="W18" s="32"/>
      <c r="X18" s="32"/>
      <c r="Y18" s="32"/>
      <c r="Z18" s="32"/>
      <c r="AA18" s="32"/>
      <c r="AB18" s="32"/>
      <c r="AC18" s="32"/>
      <c r="AD18" s="32"/>
      <c r="AE18" s="32"/>
      <c r="AF18" s="32"/>
      <c r="AG18" s="32"/>
      <c r="AH18" s="32"/>
      <c r="AI18" s="32"/>
      <c r="AJ18" s="32"/>
      <c r="AK18" s="32"/>
      <c r="AL18" s="32"/>
      <c r="AM18" s="32"/>
      <c r="AN18" s="32"/>
      <c r="AO18" s="32"/>
      <c r="AP18" s="32"/>
      <c r="AQ18" s="32"/>
      <c r="AR18" s="32"/>
      <c r="AS18" s="32"/>
      <c r="AT18" s="32"/>
      <c r="AU18" s="32"/>
      <c r="AV18" s="32"/>
      <c r="AW18" s="32"/>
      <c r="AX18" s="32"/>
      <c r="AY18" s="32"/>
      <c r="AZ18" s="32"/>
      <c r="BA18" s="32"/>
      <c r="BB18" s="32"/>
      <c r="BC18" s="32"/>
      <c r="BD18" s="32"/>
      <c r="BE18" s="32"/>
      <c r="BF18" s="32"/>
      <c r="BG18" s="32"/>
      <c r="BH18" s="32"/>
      <c r="BI18" s="32"/>
      <c r="BJ18" s="32"/>
    </row>
    <row r="19" spans="1:62" s="30" customFormat="1" ht="30" customHeight="1" thickBot="1" x14ac:dyDescent="0.3">
      <c r="A19" s="6"/>
      <c r="B19" s="62" t="s">
        <v>11</v>
      </c>
      <c r="C19" s="37">
        <f>D18</f>
        <v>46121</v>
      </c>
      <c r="D19" s="37">
        <f>C19+5</f>
        <v>46126</v>
      </c>
      <c r="E19" s="8">
        <v>5</v>
      </c>
      <c r="F19" s="4">
        <f t="shared" si="0"/>
        <v>6</v>
      </c>
      <c r="G19" s="32"/>
      <c r="H19" s="32"/>
      <c r="I19" s="32"/>
      <c r="J19" s="32"/>
      <c r="K19" s="32"/>
      <c r="L19" s="32"/>
      <c r="M19" s="32"/>
      <c r="N19" s="32"/>
      <c r="O19" s="32"/>
      <c r="P19" s="32"/>
      <c r="Q19" s="32"/>
      <c r="R19" s="32"/>
      <c r="S19" s="32"/>
      <c r="T19" s="32"/>
      <c r="U19" s="32"/>
      <c r="V19" s="32"/>
      <c r="W19" s="34"/>
      <c r="X19" s="32"/>
      <c r="Y19" s="32"/>
      <c r="Z19" s="32"/>
      <c r="AA19" s="32"/>
      <c r="AB19" s="32"/>
      <c r="AC19" s="32"/>
      <c r="AD19" s="32"/>
      <c r="AE19" s="32"/>
      <c r="AF19" s="32"/>
      <c r="AG19" s="32"/>
      <c r="AH19" s="32"/>
      <c r="AI19" s="32"/>
      <c r="AJ19" s="32"/>
      <c r="AK19" s="32"/>
      <c r="AL19" s="32"/>
      <c r="AM19" s="32"/>
      <c r="AN19" s="32"/>
      <c r="AO19" s="32"/>
      <c r="AP19" s="32"/>
      <c r="AQ19" s="32"/>
      <c r="AR19" s="32"/>
      <c r="AS19" s="32"/>
      <c r="AT19" s="32"/>
      <c r="AU19" s="32"/>
      <c r="AV19" s="32"/>
      <c r="AW19" s="32"/>
      <c r="AX19" s="32"/>
      <c r="AY19" s="32"/>
      <c r="AZ19" s="32"/>
      <c r="BA19" s="32"/>
      <c r="BB19" s="32"/>
      <c r="BC19" s="32"/>
      <c r="BD19" s="32"/>
      <c r="BE19" s="32"/>
      <c r="BF19" s="32"/>
      <c r="BG19" s="32"/>
      <c r="BH19" s="32"/>
      <c r="BI19" s="32"/>
      <c r="BJ19" s="32"/>
    </row>
    <row r="20" spans="1:62" s="30" customFormat="1" ht="30" customHeight="1" thickBot="1" x14ac:dyDescent="0.3">
      <c r="A20" s="6"/>
      <c r="B20" s="62" t="s">
        <v>12</v>
      </c>
      <c r="C20" s="37">
        <f>D19+1</f>
        <v>46127</v>
      </c>
      <c r="D20" s="37">
        <f>C20+6</f>
        <v>46133</v>
      </c>
      <c r="E20" s="8">
        <v>6</v>
      </c>
      <c r="F20" s="4">
        <f t="shared" si="0"/>
        <v>7</v>
      </c>
      <c r="G20" s="32"/>
      <c r="H20" s="32"/>
      <c r="I20" s="32"/>
      <c r="J20" s="32"/>
      <c r="K20" s="32"/>
      <c r="L20" s="32"/>
      <c r="M20" s="32"/>
      <c r="N20" s="32"/>
      <c r="O20" s="32"/>
      <c r="P20" s="32"/>
      <c r="Q20" s="32"/>
      <c r="R20" s="32"/>
      <c r="S20" s="32"/>
      <c r="T20" s="32"/>
      <c r="U20" s="32"/>
      <c r="V20" s="32"/>
      <c r="W20" s="32"/>
      <c r="X20" s="32"/>
      <c r="Y20" s="32"/>
      <c r="Z20" s="32"/>
      <c r="AA20" s="32"/>
      <c r="AB20" s="32"/>
      <c r="AC20" s="32"/>
      <c r="AD20" s="32"/>
      <c r="AE20" s="32"/>
      <c r="AF20" s="32"/>
      <c r="AG20" s="32"/>
      <c r="AH20" s="32"/>
      <c r="AI20" s="32"/>
      <c r="AJ20" s="32"/>
      <c r="AK20" s="32"/>
      <c r="AL20" s="32"/>
      <c r="AM20" s="32"/>
      <c r="AN20" s="32"/>
      <c r="AO20" s="32"/>
      <c r="AP20" s="32"/>
      <c r="AQ20" s="32"/>
      <c r="AR20" s="32"/>
      <c r="AS20" s="32"/>
      <c r="AT20" s="32"/>
      <c r="AU20" s="32"/>
      <c r="AV20" s="32"/>
      <c r="AW20" s="32"/>
      <c r="AX20" s="32"/>
      <c r="AY20" s="32"/>
      <c r="AZ20" s="32"/>
      <c r="BA20" s="32"/>
      <c r="BB20" s="32"/>
      <c r="BC20" s="32"/>
      <c r="BD20" s="32"/>
      <c r="BE20" s="32"/>
      <c r="BF20" s="32"/>
      <c r="BG20" s="32"/>
      <c r="BH20" s="32"/>
      <c r="BI20" s="32"/>
      <c r="BJ20" s="32"/>
    </row>
    <row r="21" spans="1:62" s="30" customFormat="1" ht="30" customHeight="1" thickBot="1" x14ac:dyDescent="0.3">
      <c r="A21" s="6"/>
      <c r="B21" s="63" t="s">
        <v>47</v>
      </c>
      <c r="C21" s="56"/>
      <c r="D21" s="56"/>
      <c r="E21" s="8"/>
      <c r="F21" s="4"/>
      <c r="G21" s="40"/>
      <c r="H21" s="40"/>
      <c r="I21" s="40"/>
      <c r="J21" s="40"/>
      <c r="K21" s="40"/>
      <c r="L21" s="40"/>
      <c r="M21" s="40"/>
      <c r="N21" s="40"/>
      <c r="O21" s="40"/>
      <c r="P21" s="40"/>
      <c r="Q21" s="40"/>
      <c r="R21" s="40"/>
      <c r="S21" s="40"/>
      <c r="T21" s="40"/>
      <c r="U21" s="40"/>
      <c r="V21" s="40"/>
      <c r="W21" s="40"/>
      <c r="X21" s="40"/>
      <c r="Y21" s="40"/>
      <c r="Z21" s="40"/>
      <c r="AA21" s="40"/>
      <c r="AB21" s="40"/>
      <c r="AC21" s="40"/>
      <c r="AD21" s="40"/>
      <c r="AE21" s="40"/>
      <c r="AF21" s="40"/>
      <c r="AG21" s="40"/>
      <c r="AH21" s="40"/>
      <c r="AI21" s="40"/>
      <c r="AJ21" s="40"/>
      <c r="AK21" s="40"/>
      <c r="AL21" s="40"/>
      <c r="AM21" s="40"/>
      <c r="AN21" s="40"/>
      <c r="AO21" s="40"/>
      <c r="AP21" s="40"/>
      <c r="AQ21" s="40"/>
      <c r="AR21" s="40"/>
      <c r="AS21" s="40"/>
      <c r="AT21" s="40"/>
      <c r="AU21" s="40"/>
      <c r="AV21" s="40"/>
      <c r="AW21" s="40"/>
      <c r="AX21" s="40"/>
      <c r="AY21" s="40"/>
      <c r="AZ21" s="40"/>
      <c r="BA21" s="40"/>
      <c r="BB21" s="40"/>
      <c r="BC21" s="40"/>
      <c r="BD21" s="40"/>
      <c r="BE21" s="40"/>
      <c r="BF21" s="40"/>
      <c r="BG21" s="40"/>
      <c r="BH21" s="40"/>
      <c r="BI21" s="40"/>
      <c r="BJ21" s="40"/>
    </row>
    <row r="22" spans="1:62" s="30" customFormat="1" ht="30" customHeight="1" thickBot="1" x14ac:dyDescent="0.3">
      <c r="A22" s="6"/>
      <c r="B22" s="64" t="s">
        <v>16</v>
      </c>
      <c r="C22" s="38"/>
      <c r="D22" s="39"/>
      <c r="E22" s="8"/>
      <c r="F22" s="4" t="str">
        <f t="shared" si="0"/>
        <v/>
      </c>
      <c r="G22" s="40"/>
      <c r="H22" s="40"/>
      <c r="I22" s="40"/>
      <c r="J22" s="40"/>
      <c r="K22" s="40"/>
      <c r="L22" s="40"/>
      <c r="M22" s="40"/>
      <c r="N22" s="40"/>
      <c r="O22" s="40"/>
      <c r="P22" s="40"/>
      <c r="Q22" s="40"/>
      <c r="R22" s="40"/>
      <c r="S22" s="40"/>
      <c r="T22" s="40"/>
      <c r="U22" s="40"/>
      <c r="V22" s="40"/>
      <c r="W22" s="40"/>
      <c r="X22" s="40"/>
      <c r="Y22" s="40"/>
      <c r="Z22" s="40"/>
      <c r="AA22" s="40"/>
      <c r="AB22" s="40"/>
      <c r="AC22" s="40"/>
      <c r="AD22" s="40"/>
      <c r="AE22" s="40"/>
      <c r="AF22" s="40"/>
      <c r="AG22" s="40"/>
      <c r="AH22" s="40"/>
      <c r="AI22" s="40"/>
      <c r="AJ22" s="40"/>
      <c r="AK22" s="40"/>
      <c r="AL22" s="40"/>
      <c r="AM22" s="40"/>
      <c r="AN22" s="40"/>
      <c r="AO22" s="40"/>
      <c r="AP22" s="40"/>
      <c r="AQ22" s="40"/>
      <c r="AR22" s="40"/>
      <c r="AS22" s="40"/>
      <c r="AT22" s="40"/>
      <c r="AU22" s="40"/>
      <c r="AV22" s="40"/>
      <c r="AW22" s="40"/>
      <c r="AX22" s="40"/>
      <c r="AY22" s="40"/>
      <c r="AZ22" s="40"/>
      <c r="BA22" s="40"/>
      <c r="BB22" s="40"/>
      <c r="BC22" s="40"/>
      <c r="BD22" s="40"/>
      <c r="BE22" s="40"/>
      <c r="BF22" s="40"/>
      <c r="BG22" s="40"/>
      <c r="BH22" s="40"/>
      <c r="BI22" s="40"/>
      <c r="BJ22" s="40"/>
    </row>
    <row r="23" spans="1:62" s="30" customFormat="1" ht="30" customHeight="1" thickBot="1" x14ac:dyDescent="0.3">
      <c r="A23" s="6"/>
      <c r="B23" s="65" t="s">
        <v>17</v>
      </c>
      <c r="C23" s="41">
        <f>D20+4</f>
        <v>46137</v>
      </c>
      <c r="D23" s="41">
        <f>C23+14</f>
        <v>46151</v>
      </c>
      <c r="E23" s="8">
        <v>14</v>
      </c>
      <c r="F23" s="4">
        <f t="shared" si="0"/>
        <v>15</v>
      </c>
      <c r="G23" s="32"/>
      <c r="H23" s="32"/>
      <c r="I23" s="32"/>
      <c r="J23" s="32"/>
      <c r="K23" s="32"/>
      <c r="L23" s="32"/>
      <c r="M23" s="32"/>
      <c r="N23" s="32"/>
      <c r="O23" s="32"/>
      <c r="P23" s="32"/>
      <c r="Q23" s="32"/>
      <c r="R23" s="32"/>
      <c r="S23" s="32"/>
      <c r="T23" s="32"/>
      <c r="U23" s="32"/>
      <c r="V23" s="32"/>
      <c r="W23" s="32"/>
      <c r="X23" s="32"/>
      <c r="Y23" s="32"/>
      <c r="Z23" s="32"/>
      <c r="AA23" s="32"/>
      <c r="AB23" s="32"/>
      <c r="AC23" s="32"/>
      <c r="AD23" s="32"/>
      <c r="AE23" s="32"/>
      <c r="AF23" s="32"/>
      <c r="AG23" s="32"/>
      <c r="AH23" s="32"/>
      <c r="AI23" s="32"/>
      <c r="AJ23" s="32"/>
      <c r="AK23" s="32"/>
      <c r="AL23" s="32"/>
      <c r="AM23" s="32"/>
      <c r="AN23" s="32"/>
      <c r="AO23" s="32"/>
      <c r="AP23" s="32"/>
      <c r="AQ23" s="32"/>
      <c r="AR23" s="32"/>
      <c r="AS23" s="32"/>
      <c r="AT23" s="32"/>
      <c r="AU23" s="32"/>
      <c r="AV23" s="32"/>
      <c r="AW23" s="32"/>
      <c r="AX23" s="32"/>
      <c r="AY23" s="32"/>
      <c r="AZ23" s="32"/>
      <c r="BA23" s="32"/>
      <c r="BB23" s="32"/>
      <c r="BC23" s="32"/>
      <c r="BD23" s="32"/>
      <c r="BE23" s="32"/>
      <c r="BF23" s="32"/>
      <c r="BG23" s="32"/>
      <c r="BH23" s="32"/>
      <c r="BI23" s="32"/>
      <c r="BJ23" s="32"/>
    </row>
    <row r="24" spans="1:62" s="30" customFormat="1" ht="30" customHeight="1" thickBot="1" x14ac:dyDescent="0.3">
      <c r="A24" s="6"/>
      <c r="B24" s="65" t="s">
        <v>18</v>
      </c>
      <c r="C24" s="41">
        <f>D23+1</f>
        <v>46152</v>
      </c>
      <c r="D24" s="41">
        <f>C24+13</f>
        <v>46165</v>
      </c>
      <c r="E24" s="8">
        <v>13</v>
      </c>
      <c r="F24" s="4">
        <f t="shared" si="0"/>
        <v>14</v>
      </c>
      <c r="G24" s="32"/>
      <c r="H24" s="32"/>
      <c r="I24" s="32"/>
      <c r="J24" s="32"/>
      <c r="K24" s="32"/>
      <c r="L24" s="32"/>
      <c r="M24" s="32"/>
      <c r="N24" s="32"/>
      <c r="O24" s="32"/>
      <c r="P24" s="32"/>
      <c r="Q24" s="32"/>
      <c r="R24" s="32"/>
      <c r="S24" s="32"/>
      <c r="T24" s="32"/>
      <c r="U24" s="32"/>
      <c r="V24" s="32"/>
      <c r="W24" s="32"/>
      <c r="X24" s="32"/>
      <c r="Y24" s="32"/>
      <c r="Z24" s="32"/>
      <c r="AA24" s="32"/>
      <c r="AB24" s="32"/>
      <c r="AC24" s="32"/>
      <c r="AD24" s="32"/>
      <c r="AE24" s="32"/>
      <c r="AF24" s="32"/>
      <c r="AG24" s="32"/>
      <c r="AH24" s="32"/>
      <c r="AI24" s="32"/>
      <c r="AJ24" s="32"/>
      <c r="AK24" s="32"/>
      <c r="AL24" s="32"/>
      <c r="AM24" s="32"/>
      <c r="AN24" s="32"/>
      <c r="AO24" s="32"/>
      <c r="AP24" s="32"/>
      <c r="AQ24" s="32"/>
      <c r="AR24" s="32"/>
      <c r="AS24" s="32"/>
      <c r="AT24" s="32"/>
      <c r="AU24" s="32"/>
      <c r="AV24" s="32"/>
      <c r="AW24" s="32"/>
      <c r="AX24" s="32"/>
      <c r="AY24" s="32"/>
      <c r="AZ24" s="32"/>
      <c r="BA24" s="32"/>
      <c r="BB24" s="32"/>
      <c r="BC24" s="32"/>
      <c r="BD24" s="32"/>
      <c r="BE24" s="32"/>
      <c r="BF24" s="32"/>
      <c r="BG24" s="32"/>
      <c r="BH24" s="32"/>
      <c r="BI24" s="32"/>
      <c r="BJ24" s="32"/>
    </row>
    <row r="25" spans="1:62" s="30" customFormat="1" ht="30" customHeight="1" thickBot="1" x14ac:dyDescent="0.3">
      <c r="A25" s="6"/>
      <c r="B25" s="65" t="s">
        <v>19</v>
      </c>
      <c r="C25" s="41">
        <f>C24</f>
        <v>46152</v>
      </c>
      <c r="D25" s="41">
        <f>C25+5</f>
        <v>46157</v>
      </c>
      <c r="E25" s="8">
        <v>5</v>
      </c>
      <c r="F25" s="4">
        <f t="shared" si="0"/>
        <v>6</v>
      </c>
      <c r="G25" s="32"/>
      <c r="H25" s="32"/>
      <c r="I25" s="32"/>
      <c r="J25" s="32"/>
      <c r="K25" s="32"/>
      <c r="L25" s="32"/>
      <c r="M25" s="32"/>
      <c r="N25" s="32"/>
      <c r="O25" s="32"/>
      <c r="P25" s="32"/>
      <c r="Q25" s="32"/>
      <c r="R25" s="32"/>
      <c r="S25" s="32"/>
      <c r="T25" s="32"/>
      <c r="U25" s="32"/>
      <c r="V25" s="32"/>
      <c r="W25" s="32"/>
      <c r="X25" s="32"/>
      <c r="Y25" s="32"/>
      <c r="Z25" s="32"/>
      <c r="AA25" s="32"/>
      <c r="AB25" s="32"/>
      <c r="AC25" s="32"/>
      <c r="AD25" s="32"/>
      <c r="AE25" s="32"/>
      <c r="AF25" s="32"/>
      <c r="AG25" s="32"/>
      <c r="AH25" s="32"/>
      <c r="AI25" s="32"/>
      <c r="AJ25" s="32"/>
      <c r="AK25" s="32"/>
      <c r="AL25" s="32"/>
      <c r="AM25" s="32"/>
      <c r="AN25" s="32"/>
      <c r="AO25" s="32"/>
      <c r="AP25" s="32"/>
      <c r="AQ25" s="32"/>
      <c r="AR25" s="32"/>
      <c r="AS25" s="32"/>
      <c r="AT25" s="32"/>
      <c r="AU25" s="32"/>
      <c r="AV25" s="32"/>
      <c r="AW25" s="32"/>
      <c r="AX25" s="32"/>
      <c r="AY25" s="32"/>
      <c r="AZ25" s="32"/>
      <c r="BA25" s="32"/>
      <c r="BB25" s="32"/>
      <c r="BC25" s="32"/>
      <c r="BD25" s="32"/>
      <c r="BE25" s="32"/>
      <c r="BF25" s="32"/>
      <c r="BG25" s="32"/>
      <c r="BH25" s="32"/>
      <c r="BI25" s="32"/>
      <c r="BJ25" s="32"/>
    </row>
    <row r="26" spans="1:62" s="30" customFormat="1" ht="30" customHeight="1" thickBot="1" x14ac:dyDescent="0.3">
      <c r="A26" s="6"/>
      <c r="B26" s="65" t="s">
        <v>20</v>
      </c>
      <c r="C26" s="41">
        <f>D25+8</f>
        <v>46165</v>
      </c>
      <c r="D26" s="41">
        <f>C26+4</f>
        <v>46169</v>
      </c>
      <c r="E26" s="8">
        <v>4</v>
      </c>
      <c r="F26" s="4">
        <f t="shared" si="0"/>
        <v>5</v>
      </c>
      <c r="G26" s="32"/>
      <c r="H26" s="32"/>
      <c r="I26" s="32"/>
      <c r="J26" s="32"/>
      <c r="K26" s="32"/>
      <c r="L26" s="32"/>
      <c r="M26" s="32"/>
      <c r="N26" s="32"/>
      <c r="O26" s="32"/>
      <c r="P26" s="32"/>
      <c r="Q26" s="32"/>
      <c r="R26" s="32"/>
      <c r="S26" s="32"/>
      <c r="T26" s="32"/>
      <c r="U26" s="32"/>
      <c r="V26" s="32"/>
      <c r="W26" s="32"/>
      <c r="X26" s="32"/>
      <c r="Y26" s="32"/>
      <c r="Z26" s="32"/>
      <c r="AA26" s="32"/>
      <c r="AB26" s="32"/>
      <c r="AC26" s="32"/>
      <c r="AD26" s="32"/>
      <c r="AE26" s="32"/>
      <c r="AF26" s="32"/>
      <c r="AG26" s="32"/>
      <c r="AH26" s="32"/>
      <c r="AI26" s="32"/>
      <c r="AJ26" s="32"/>
      <c r="AK26" s="32"/>
      <c r="AL26" s="32"/>
      <c r="AM26" s="32"/>
      <c r="AN26" s="32"/>
      <c r="AO26" s="32"/>
      <c r="AP26" s="32"/>
      <c r="AQ26" s="32"/>
      <c r="AR26" s="32"/>
      <c r="AS26" s="32"/>
      <c r="AT26" s="32"/>
      <c r="AU26" s="32"/>
      <c r="AV26" s="32"/>
      <c r="AW26" s="32"/>
      <c r="AX26" s="32"/>
      <c r="AY26" s="32"/>
      <c r="AZ26" s="32"/>
      <c r="BA26" s="32"/>
      <c r="BB26" s="32"/>
      <c r="BC26" s="32"/>
      <c r="BD26" s="32"/>
      <c r="BE26" s="32"/>
      <c r="BF26" s="32"/>
      <c r="BG26" s="32"/>
      <c r="BH26" s="32"/>
      <c r="BI26" s="32"/>
      <c r="BJ26" s="32"/>
    </row>
    <row r="27" spans="1:62" s="30" customFormat="1" ht="30" customHeight="1" thickBot="1" x14ac:dyDescent="0.3">
      <c r="A27" s="6"/>
      <c r="B27" s="66" t="s">
        <v>21</v>
      </c>
      <c r="C27" s="42"/>
      <c r="D27" s="43"/>
      <c r="E27" s="8"/>
      <c r="F27" s="4" t="str">
        <f t="shared" si="0"/>
        <v/>
      </c>
      <c r="G27" s="44"/>
      <c r="H27" s="44"/>
      <c r="I27" s="44"/>
      <c r="J27" s="44"/>
      <c r="K27" s="44"/>
      <c r="L27" s="44"/>
      <c r="M27" s="44"/>
      <c r="N27" s="44"/>
      <c r="O27" s="44"/>
      <c r="P27" s="44"/>
      <c r="Q27" s="44"/>
      <c r="R27" s="44"/>
      <c r="S27" s="44"/>
      <c r="T27" s="44"/>
      <c r="U27" s="44"/>
      <c r="V27" s="44"/>
      <c r="W27" s="44"/>
      <c r="X27" s="44"/>
      <c r="Y27" s="44"/>
      <c r="Z27" s="44"/>
      <c r="AA27" s="44"/>
      <c r="AB27" s="44"/>
      <c r="AC27" s="44"/>
      <c r="AD27" s="44"/>
      <c r="AE27" s="44"/>
      <c r="AF27" s="44"/>
      <c r="AG27" s="44"/>
      <c r="AH27" s="44"/>
      <c r="AI27" s="44"/>
      <c r="AJ27" s="44"/>
      <c r="AK27" s="44"/>
      <c r="AL27" s="44"/>
      <c r="AM27" s="44"/>
      <c r="AN27" s="44"/>
      <c r="AO27" s="44"/>
      <c r="AP27" s="44"/>
      <c r="AQ27" s="44"/>
      <c r="AR27" s="44"/>
      <c r="AS27" s="44"/>
      <c r="AT27" s="44"/>
      <c r="AU27" s="44"/>
      <c r="AV27" s="44"/>
      <c r="AW27" s="44"/>
      <c r="AX27" s="44"/>
      <c r="AY27" s="44"/>
      <c r="AZ27" s="44"/>
      <c r="BA27" s="44"/>
      <c r="BB27" s="44"/>
      <c r="BC27" s="44"/>
      <c r="BD27" s="44"/>
      <c r="BE27" s="44"/>
      <c r="BF27" s="44"/>
      <c r="BG27" s="44"/>
      <c r="BH27" s="44"/>
      <c r="BI27" s="44"/>
      <c r="BJ27" s="44"/>
    </row>
    <row r="28" spans="1:62" s="30" customFormat="1" ht="30" customHeight="1" thickBot="1" x14ac:dyDescent="0.3">
      <c r="A28" s="6"/>
      <c r="B28" s="67" t="s">
        <v>22</v>
      </c>
      <c r="C28" s="45">
        <f>D26</f>
        <v>46169</v>
      </c>
      <c r="D28" s="45">
        <f>C28+1</f>
        <v>46170</v>
      </c>
      <c r="E28" s="8">
        <v>1</v>
      </c>
      <c r="F28" s="4">
        <f t="shared" si="0"/>
        <v>2</v>
      </c>
      <c r="G28" s="32"/>
      <c r="H28" s="32"/>
      <c r="I28" s="32"/>
      <c r="J28" s="32"/>
      <c r="K28" s="32"/>
      <c r="L28" s="32"/>
      <c r="M28" s="32"/>
      <c r="N28" s="32"/>
      <c r="O28" s="32"/>
      <c r="P28" s="32"/>
      <c r="Q28" s="32"/>
      <c r="R28" s="32"/>
      <c r="S28" s="32"/>
      <c r="T28" s="32"/>
      <c r="U28" s="32"/>
      <c r="V28" s="32"/>
      <c r="W28" s="32"/>
      <c r="X28" s="32"/>
      <c r="Y28" s="32"/>
      <c r="Z28" s="32"/>
      <c r="AA28" s="32"/>
      <c r="AB28" s="32"/>
      <c r="AC28" s="32"/>
      <c r="AD28" s="32"/>
      <c r="AE28" s="32"/>
      <c r="AF28" s="32"/>
      <c r="AG28" s="32"/>
      <c r="AH28" s="32"/>
      <c r="AI28" s="32"/>
      <c r="AJ28" s="32"/>
      <c r="AK28" s="32"/>
      <c r="AL28" s="32"/>
      <c r="AM28" s="32"/>
      <c r="AN28" s="32"/>
      <c r="AO28" s="32"/>
      <c r="AP28" s="32"/>
      <c r="AQ28" s="32"/>
      <c r="AR28" s="32"/>
      <c r="AS28" s="32"/>
      <c r="AT28" s="32"/>
      <c r="AU28" s="32"/>
      <c r="AV28" s="32"/>
      <c r="AW28" s="32"/>
      <c r="AX28" s="32"/>
      <c r="AY28" s="32"/>
      <c r="AZ28" s="32"/>
      <c r="BA28" s="32"/>
      <c r="BB28" s="32"/>
      <c r="BC28" s="32"/>
      <c r="BD28" s="32"/>
      <c r="BE28" s="32"/>
      <c r="BF28" s="32"/>
      <c r="BG28" s="32"/>
      <c r="BH28" s="32"/>
      <c r="BI28" s="32"/>
      <c r="BJ28" s="32"/>
    </row>
    <row r="29" spans="1:62" s="30" customFormat="1" ht="30" customHeight="1" thickBot="1" x14ac:dyDescent="0.3">
      <c r="A29" s="6"/>
      <c r="B29" s="67" t="s">
        <v>23</v>
      </c>
      <c r="C29" s="45">
        <f>C28</f>
        <v>46169</v>
      </c>
      <c r="D29" s="45">
        <f>C29+1</f>
        <v>46170</v>
      </c>
      <c r="E29" s="8">
        <v>1</v>
      </c>
      <c r="F29" s="4">
        <f t="shared" si="0"/>
        <v>2</v>
      </c>
      <c r="G29" s="32"/>
      <c r="H29" s="32"/>
      <c r="I29" s="32"/>
      <c r="J29" s="32"/>
      <c r="K29" s="32"/>
      <c r="L29" s="32"/>
      <c r="M29" s="32"/>
      <c r="N29" s="32"/>
      <c r="O29" s="32"/>
      <c r="P29" s="32"/>
      <c r="Q29" s="32"/>
      <c r="R29" s="32"/>
      <c r="S29" s="32"/>
      <c r="T29" s="32"/>
      <c r="U29" s="32"/>
      <c r="V29" s="32"/>
      <c r="W29" s="32"/>
      <c r="X29" s="32"/>
      <c r="Y29" s="32"/>
      <c r="Z29" s="32"/>
      <c r="AA29" s="32"/>
      <c r="AB29" s="32"/>
      <c r="AC29" s="32"/>
      <c r="AD29" s="32"/>
      <c r="AE29" s="32"/>
      <c r="AF29" s="32"/>
      <c r="AG29" s="32"/>
      <c r="AH29" s="32"/>
      <c r="AI29" s="32"/>
      <c r="AJ29" s="32"/>
      <c r="AK29" s="32"/>
      <c r="AL29" s="32"/>
      <c r="AM29" s="32"/>
      <c r="AN29" s="32"/>
      <c r="AO29" s="32"/>
      <c r="AP29" s="32"/>
      <c r="AQ29" s="32"/>
      <c r="AR29" s="32"/>
      <c r="AS29" s="32"/>
      <c r="AT29" s="32"/>
      <c r="AU29" s="32"/>
      <c r="AV29" s="32"/>
      <c r="AW29" s="32"/>
      <c r="AX29" s="32"/>
      <c r="AY29" s="32"/>
      <c r="AZ29" s="32"/>
      <c r="BA29" s="32"/>
      <c r="BB29" s="32"/>
      <c r="BC29" s="32"/>
      <c r="BD29" s="32"/>
      <c r="BE29" s="32"/>
      <c r="BF29" s="32"/>
      <c r="BG29" s="32"/>
      <c r="BH29" s="32"/>
      <c r="BI29" s="32"/>
      <c r="BJ29" s="32"/>
    </row>
    <row r="30" spans="1:62" s="30" customFormat="1" ht="30" customHeight="1" thickBot="1" x14ac:dyDescent="0.3">
      <c r="A30" s="6"/>
      <c r="B30" s="67" t="s">
        <v>24</v>
      </c>
      <c r="C30" s="45">
        <f>C29</f>
        <v>46169</v>
      </c>
      <c r="D30" s="45">
        <f>C30+1</f>
        <v>46170</v>
      </c>
      <c r="E30" s="8">
        <v>1</v>
      </c>
      <c r="F30" s="4">
        <f t="shared" si="0"/>
        <v>2</v>
      </c>
      <c r="G30" s="32"/>
      <c r="H30" s="32"/>
      <c r="I30" s="32"/>
      <c r="J30" s="32"/>
      <c r="K30" s="32"/>
      <c r="L30" s="32"/>
      <c r="M30" s="32"/>
      <c r="N30" s="32"/>
      <c r="O30" s="32"/>
      <c r="P30" s="32"/>
      <c r="Q30" s="32"/>
      <c r="R30" s="32"/>
      <c r="S30" s="32"/>
      <c r="T30" s="32"/>
      <c r="U30" s="32"/>
      <c r="V30" s="32"/>
      <c r="W30" s="32"/>
      <c r="X30" s="32"/>
      <c r="Y30" s="32"/>
      <c r="Z30" s="32"/>
      <c r="AA30" s="32"/>
      <c r="AB30" s="32"/>
      <c r="AC30" s="32"/>
      <c r="AD30" s="32"/>
      <c r="AE30" s="32"/>
      <c r="AF30" s="32"/>
      <c r="AG30" s="32"/>
      <c r="AH30" s="32"/>
      <c r="AI30" s="32"/>
      <c r="AJ30" s="32"/>
      <c r="AK30" s="32"/>
      <c r="AL30" s="32"/>
      <c r="AM30" s="32"/>
      <c r="AN30" s="32"/>
      <c r="AO30" s="32"/>
      <c r="AP30" s="32"/>
      <c r="AQ30" s="32"/>
      <c r="AR30" s="32"/>
      <c r="AS30" s="32"/>
      <c r="AT30" s="32"/>
      <c r="AU30" s="32"/>
      <c r="AV30" s="32"/>
      <c r="AW30" s="32"/>
      <c r="AX30" s="32"/>
      <c r="AY30" s="32"/>
      <c r="AZ30" s="32"/>
      <c r="BA30" s="32"/>
      <c r="BB30" s="32"/>
      <c r="BC30" s="32"/>
      <c r="BD30" s="32"/>
      <c r="BE30" s="32"/>
      <c r="BF30" s="32"/>
      <c r="BG30" s="32"/>
      <c r="BH30" s="32"/>
      <c r="BI30" s="32"/>
      <c r="BJ30" s="32"/>
    </row>
    <row r="31" spans="1:62" s="30" customFormat="1" ht="30" customHeight="1" thickBot="1" x14ac:dyDescent="0.3">
      <c r="A31" s="6"/>
      <c r="B31" s="68" t="s">
        <v>25</v>
      </c>
      <c r="C31" s="45"/>
      <c r="D31" s="45"/>
      <c r="E31" s="8"/>
      <c r="F31" s="4" t="str">
        <f t="shared" si="0"/>
        <v/>
      </c>
      <c r="G31" s="32"/>
      <c r="H31" s="32"/>
      <c r="I31" s="32"/>
      <c r="J31" s="32"/>
      <c r="K31" s="32"/>
      <c r="L31" s="32"/>
      <c r="M31" s="32"/>
      <c r="N31" s="32"/>
      <c r="O31" s="32"/>
      <c r="P31" s="32"/>
      <c r="Q31" s="32"/>
      <c r="R31" s="32"/>
      <c r="S31" s="32"/>
      <c r="T31" s="32"/>
      <c r="U31" s="32"/>
      <c r="V31" s="32"/>
      <c r="W31" s="32"/>
      <c r="X31" s="32"/>
      <c r="Y31" s="32"/>
      <c r="Z31" s="32"/>
      <c r="AA31" s="32"/>
      <c r="AB31" s="32"/>
      <c r="AC31" s="32"/>
      <c r="AD31" s="32"/>
      <c r="AE31" s="32"/>
      <c r="AF31" s="32"/>
      <c r="AG31" s="32"/>
      <c r="AH31" s="32"/>
      <c r="AI31" s="32"/>
      <c r="AJ31" s="32"/>
      <c r="AK31" s="32"/>
      <c r="AL31" s="32"/>
      <c r="AM31" s="32"/>
      <c r="AN31" s="32"/>
      <c r="AO31" s="32"/>
      <c r="AP31" s="32"/>
      <c r="AQ31" s="32"/>
      <c r="AR31" s="32"/>
      <c r="AS31" s="32"/>
      <c r="AT31" s="32"/>
      <c r="AU31" s="32"/>
      <c r="AV31" s="32"/>
      <c r="AW31" s="32"/>
      <c r="AX31" s="32"/>
      <c r="AY31" s="32"/>
      <c r="AZ31" s="32"/>
      <c r="BA31" s="32"/>
      <c r="BB31" s="32"/>
      <c r="BC31" s="32"/>
      <c r="BD31" s="32"/>
      <c r="BE31" s="32"/>
      <c r="BF31" s="32"/>
      <c r="BG31" s="32"/>
      <c r="BH31" s="32"/>
      <c r="BI31" s="32"/>
      <c r="BJ31" s="32"/>
    </row>
    <row r="32" spans="1:62" s="30" customFormat="1" ht="30" customHeight="1" thickBot="1" x14ac:dyDescent="0.3">
      <c r="A32" s="6"/>
      <c r="B32" s="67" t="s">
        <v>26</v>
      </c>
      <c r="C32" s="45">
        <f>D30+10</f>
        <v>46180</v>
      </c>
      <c r="D32" s="45">
        <f>C32+5</f>
        <v>46185</v>
      </c>
      <c r="E32" s="8">
        <v>5</v>
      </c>
      <c r="F32" s="4">
        <f t="shared" si="0"/>
        <v>6</v>
      </c>
      <c r="G32" s="32"/>
      <c r="H32" s="32"/>
      <c r="I32" s="32"/>
      <c r="J32" s="32"/>
      <c r="K32" s="32"/>
      <c r="L32" s="32"/>
      <c r="M32" s="32"/>
      <c r="N32" s="32"/>
      <c r="O32" s="32"/>
      <c r="P32" s="32"/>
      <c r="Q32" s="32"/>
      <c r="R32" s="32"/>
      <c r="S32" s="32"/>
      <c r="T32" s="32"/>
      <c r="U32" s="32"/>
      <c r="V32" s="32"/>
      <c r="W32" s="32"/>
      <c r="X32" s="32"/>
      <c r="Y32" s="32"/>
      <c r="Z32" s="32"/>
      <c r="AA32" s="32"/>
      <c r="AB32" s="32"/>
      <c r="AC32" s="32"/>
      <c r="AD32" s="32"/>
      <c r="AE32" s="32"/>
      <c r="AF32" s="32"/>
      <c r="AG32" s="32"/>
      <c r="AH32" s="32"/>
      <c r="AI32" s="32"/>
      <c r="AJ32" s="32"/>
      <c r="AK32" s="32"/>
      <c r="AL32" s="32"/>
      <c r="AM32" s="32"/>
      <c r="AN32" s="32"/>
      <c r="AO32" s="32"/>
      <c r="AP32" s="32"/>
      <c r="AQ32" s="32"/>
      <c r="AR32" s="32"/>
      <c r="AS32" s="32"/>
      <c r="AT32" s="32"/>
      <c r="AU32" s="32"/>
      <c r="AV32" s="32"/>
      <c r="AW32" s="32"/>
      <c r="AX32" s="32"/>
      <c r="AY32" s="32"/>
      <c r="AZ32" s="32"/>
      <c r="BA32" s="32"/>
      <c r="BB32" s="32"/>
      <c r="BC32" s="32"/>
      <c r="BD32" s="32"/>
      <c r="BE32" s="32"/>
      <c r="BF32" s="32"/>
      <c r="BG32" s="32"/>
      <c r="BH32" s="32"/>
      <c r="BI32" s="32"/>
      <c r="BJ32" s="32"/>
    </row>
    <row r="33" spans="1:62" s="30" customFormat="1" ht="30" customHeight="1" thickBot="1" x14ac:dyDescent="0.3">
      <c r="A33" s="6"/>
      <c r="B33" s="69" t="s">
        <v>27</v>
      </c>
      <c r="C33" s="53">
        <f>D32+1</f>
        <v>46186</v>
      </c>
      <c r="D33" s="53">
        <f>C33+4</f>
        <v>46190</v>
      </c>
      <c r="E33" s="8">
        <v>4</v>
      </c>
      <c r="F33" s="4"/>
      <c r="G33" s="29"/>
      <c r="H33" s="29"/>
      <c r="I33" s="29"/>
      <c r="J33" s="29"/>
      <c r="K33" s="29"/>
      <c r="L33" s="29"/>
      <c r="M33" s="29"/>
      <c r="N33" s="29"/>
      <c r="O33" s="29"/>
      <c r="P33" s="29"/>
      <c r="Q33" s="29"/>
      <c r="R33" s="29"/>
      <c r="S33" s="29"/>
      <c r="T33" s="29"/>
      <c r="U33" s="29"/>
      <c r="V33" s="29"/>
      <c r="W33" s="29"/>
      <c r="X33" s="29"/>
      <c r="Y33" s="29"/>
      <c r="Z33" s="29"/>
      <c r="AA33" s="29"/>
      <c r="AB33" s="29"/>
      <c r="AC33" s="29"/>
      <c r="AD33" s="29"/>
      <c r="AE33" s="29"/>
      <c r="AF33" s="29"/>
      <c r="AG33" s="29"/>
      <c r="AH33" s="29"/>
      <c r="AI33" s="29"/>
      <c r="AJ33" s="29"/>
      <c r="AK33" s="29"/>
      <c r="AL33" s="29"/>
      <c r="AM33" s="29"/>
      <c r="AN33" s="29"/>
      <c r="AO33" s="29"/>
      <c r="AP33" s="29"/>
      <c r="AQ33" s="29"/>
      <c r="AR33" s="29"/>
      <c r="AS33" s="29"/>
      <c r="AT33" s="29"/>
      <c r="AU33" s="29"/>
      <c r="AV33" s="29"/>
      <c r="AW33" s="29"/>
      <c r="AX33" s="29"/>
      <c r="AY33" s="29"/>
      <c r="AZ33" s="29"/>
      <c r="BA33" s="29"/>
      <c r="BB33" s="29"/>
      <c r="BC33" s="29"/>
      <c r="BD33" s="29"/>
      <c r="BE33" s="29"/>
      <c r="BF33" s="29"/>
      <c r="BG33" s="29"/>
      <c r="BH33" s="29"/>
      <c r="BI33" s="29"/>
      <c r="BJ33" s="29"/>
    </row>
    <row r="34" spans="1:62" s="30" customFormat="1" ht="30" customHeight="1" thickBot="1" x14ac:dyDescent="0.3">
      <c r="A34" s="6"/>
      <c r="B34" s="69" t="s">
        <v>28</v>
      </c>
      <c r="C34" s="53">
        <f>D33+1</f>
        <v>46191</v>
      </c>
      <c r="D34" s="53">
        <f>C34+4</f>
        <v>46195</v>
      </c>
      <c r="E34" s="8">
        <v>4</v>
      </c>
      <c r="F34" s="4"/>
      <c r="G34" s="29"/>
      <c r="H34" s="29"/>
      <c r="I34" s="29"/>
      <c r="J34" s="29"/>
      <c r="K34" s="29"/>
      <c r="L34" s="29"/>
      <c r="M34" s="29"/>
      <c r="N34" s="29"/>
      <c r="O34" s="29"/>
      <c r="P34" s="29"/>
      <c r="Q34" s="29"/>
      <c r="R34" s="29"/>
      <c r="S34" s="29"/>
      <c r="T34" s="29"/>
      <c r="U34" s="29"/>
      <c r="V34" s="29"/>
      <c r="W34" s="29"/>
      <c r="X34" s="29"/>
      <c r="Y34" s="29"/>
      <c r="Z34" s="29"/>
      <c r="AA34" s="29"/>
      <c r="AB34" s="29"/>
      <c r="AC34" s="29"/>
      <c r="AD34" s="29"/>
      <c r="AE34" s="29"/>
      <c r="AF34" s="29"/>
      <c r="AG34" s="29"/>
      <c r="AH34" s="29"/>
      <c r="AI34" s="29"/>
      <c r="AJ34" s="29"/>
      <c r="AK34" s="29"/>
      <c r="AL34" s="29"/>
      <c r="AM34" s="29"/>
      <c r="AN34" s="29"/>
      <c r="AO34" s="29"/>
      <c r="AP34" s="29"/>
      <c r="AQ34" s="29"/>
      <c r="AR34" s="29"/>
      <c r="AS34" s="29"/>
      <c r="AT34" s="29"/>
      <c r="AU34" s="29"/>
      <c r="AV34" s="29"/>
      <c r="AW34" s="29"/>
      <c r="AX34" s="29"/>
      <c r="AY34" s="29"/>
      <c r="AZ34" s="29"/>
      <c r="BA34" s="29"/>
      <c r="BB34" s="29"/>
      <c r="BC34" s="29"/>
      <c r="BD34" s="29"/>
      <c r="BE34" s="29"/>
      <c r="BF34" s="29"/>
      <c r="BG34" s="29"/>
      <c r="BH34" s="29"/>
      <c r="BI34" s="29"/>
      <c r="BJ34" s="29"/>
    </row>
    <row r="35" spans="1:62" s="30" customFormat="1" ht="30" customHeight="1" thickBot="1" x14ac:dyDescent="0.3">
      <c r="A35" s="6"/>
      <c r="B35" s="69" t="s">
        <v>29</v>
      </c>
      <c r="C35" s="53">
        <f>D34+1</f>
        <v>46196</v>
      </c>
      <c r="D35" s="53">
        <f>C35+3</f>
        <v>46199</v>
      </c>
      <c r="E35" s="8">
        <v>3</v>
      </c>
      <c r="F35" s="4"/>
      <c r="G35" s="29"/>
      <c r="H35" s="29"/>
      <c r="I35" s="29"/>
      <c r="J35" s="29"/>
      <c r="K35" s="29"/>
      <c r="L35" s="29"/>
      <c r="M35" s="29"/>
      <c r="N35" s="29"/>
      <c r="O35" s="29"/>
      <c r="P35" s="29"/>
      <c r="Q35" s="29"/>
      <c r="R35" s="29"/>
      <c r="S35" s="29"/>
      <c r="T35" s="29"/>
      <c r="U35" s="29"/>
      <c r="V35" s="29"/>
      <c r="W35" s="29"/>
      <c r="X35" s="29"/>
      <c r="Y35" s="29"/>
      <c r="Z35" s="29"/>
      <c r="AA35" s="29"/>
      <c r="AB35" s="29"/>
      <c r="AC35" s="29"/>
      <c r="AD35" s="29"/>
      <c r="AE35" s="29"/>
      <c r="AF35" s="29"/>
      <c r="AG35" s="29"/>
      <c r="AH35" s="29"/>
      <c r="AI35" s="29"/>
      <c r="AJ35" s="29"/>
      <c r="AK35" s="29"/>
      <c r="AL35" s="29"/>
      <c r="AM35" s="29"/>
      <c r="AN35" s="29"/>
      <c r="AO35" s="29"/>
      <c r="AP35" s="29"/>
      <c r="AQ35" s="29"/>
      <c r="AR35" s="29"/>
      <c r="AS35" s="29"/>
      <c r="AT35" s="29"/>
      <c r="AU35" s="29"/>
      <c r="AV35" s="29"/>
      <c r="AW35" s="29"/>
      <c r="AX35" s="29"/>
      <c r="AY35" s="29"/>
      <c r="AZ35" s="29"/>
      <c r="BA35" s="29"/>
      <c r="BB35" s="29"/>
      <c r="BC35" s="29"/>
      <c r="BD35" s="29"/>
      <c r="BE35" s="29"/>
      <c r="BF35" s="29"/>
      <c r="BG35" s="29"/>
      <c r="BH35" s="29"/>
      <c r="BI35" s="29"/>
      <c r="BJ35" s="29"/>
    </row>
    <row r="36" spans="1:62" s="30" customFormat="1" ht="30" customHeight="1" thickBot="1" x14ac:dyDescent="0.3">
      <c r="A36" s="6"/>
      <c r="B36" s="69" t="s">
        <v>30</v>
      </c>
      <c r="C36" s="53">
        <f>D35+1</f>
        <v>46200</v>
      </c>
      <c r="D36" s="53">
        <f>C36+8</f>
        <v>46208</v>
      </c>
      <c r="E36" s="8">
        <v>8</v>
      </c>
      <c r="F36" s="4"/>
      <c r="G36" s="29"/>
      <c r="H36" s="29"/>
      <c r="I36" s="29"/>
      <c r="J36" s="29"/>
      <c r="K36" s="29"/>
      <c r="L36" s="29"/>
      <c r="M36" s="29"/>
      <c r="N36" s="29"/>
      <c r="O36" s="29"/>
      <c r="P36" s="29"/>
      <c r="Q36" s="29"/>
      <c r="R36" s="29"/>
      <c r="S36" s="29"/>
      <c r="T36" s="29"/>
      <c r="U36" s="29"/>
      <c r="V36" s="29"/>
      <c r="W36" s="29"/>
      <c r="X36" s="29"/>
      <c r="Y36" s="29"/>
      <c r="Z36" s="29"/>
      <c r="AA36" s="29"/>
      <c r="AB36" s="29"/>
      <c r="AC36" s="29"/>
      <c r="AD36" s="29"/>
      <c r="AE36" s="29"/>
      <c r="AF36" s="29"/>
      <c r="AG36" s="29"/>
      <c r="AH36" s="29"/>
      <c r="AI36" s="29"/>
      <c r="AJ36" s="29"/>
      <c r="AK36" s="29"/>
      <c r="AL36" s="29"/>
      <c r="AM36" s="29"/>
      <c r="AN36" s="29"/>
      <c r="AO36" s="29"/>
      <c r="AP36" s="29"/>
      <c r="AQ36" s="29"/>
      <c r="AR36" s="29"/>
      <c r="AS36" s="29"/>
      <c r="AT36" s="29"/>
      <c r="AU36" s="29"/>
      <c r="AV36" s="29"/>
      <c r="AW36" s="29"/>
      <c r="AX36" s="29"/>
      <c r="AY36" s="29"/>
      <c r="AZ36" s="29"/>
      <c r="BA36" s="29"/>
      <c r="BB36" s="29"/>
      <c r="BC36" s="29"/>
      <c r="BD36" s="29"/>
      <c r="BE36" s="29"/>
      <c r="BF36" s="29"/>
      <c r="BG36" s="29"/>
      <c r="BH36" s="29"/>
      <c r="BI36" s="29"/>
      <c r="BJ36" s="29"/>
    </row>
    <row r="37" spans="1:62" s="30" customFormat="1" ht="30" customHeight="1" thickBot="1" x14ac:dyDescent="0.3">
      <c r="A37" s="6"/>
      <c r="B37" s="69" t="s">
        <v>31</v>
      </c>
      <c r="C37" s="53">
        <f>D36+1</f>
        <v>46209</v>
      </c>
      <c r="D37" s="53">
        <f>C37+4</f>
        <v>46213</v>
      </c>
      <c r="E37" s="8">
        <v>4</v>
      </c>
      <c r="F37" s="4"/>
      <c r="G37" s="29"/>
      <c r="H37" s="29"/>
      <c r="I37" s="29"/>
      <c r="J37" s="29"/>
      <c r="K37" s="29"/>
      <c r="L37" s="29"/>
      <c r="M37" s="29"/>
      <c r="N37" s="29"/>
      <c r="O37" s="29"/>
      <c r="P37" s="29"/>
      <c r="Q37" s="29"/>
      <c r="R37" s="29"/>
      <c r="S37" s="29"/>
      <c r="T37" s="29"/>
      <c r="U37" s="29"/>
      <c r="V37" s="29"/>
      <c r="W37" s="29"/>
      <c r="X37" s="29"/>
      <c r="Y37" s="29"/>
      <c r="Z37" s="29"/>
      <c r="AA37" s="29"/>
      <c r="AB37" s="29"/>
      <c r="AC37" s="29"/>
      <c r="AD37" s="29"/>
      <c r="AE37" s="29"/>
      <c r="AF37" s="29"/>
      <c r="AG37" s="29"/>
      <c r="AH37" s="29"/>
      <c r="AI37" s="29"/>
      <c r="AJ37" s="29"/>
      <c r="AK37" s="29"/>
      <c r="AL37" s="29"/>
      <c r="AM37" s="29"/>
      <c r="AN37" s="29"/>
      <c r="AO37" s="29"/>
      <c r="AP37" s="29"/>
      <c r="AQ37" s="29"/>
      <c r="AR37" s="29"/>
      <c r="AS37" s="29"/>
      <c r="AT37" s="29"/>
      <c r="AU37" s="29"/>
      <c r="AV37" s="29"/>
      <c r="AW37" s="29"/>
      <c r="AX37" s="29"/>
      <c r="AY37" s="29"/>
      <c r="AZ37" s="29"/>
      <c r="BA37" s="29"/>
      <c r="BB37" s="29"/>
      <c r="BC37" s="29"/>
      <c r="BD37" s="29"/>
      <c r="BE37" s="29"/>
      <c r="BF37" s="29"/>
      <c r="BG37" s="29"/>
      <c r="BH37" s="29"/>
      <c r="BI37" s="29"/>
      <c r="BJ37" s="29"/>
    </row>
    <row r="38" spans="1:62" s="30" customFormat="1" ht="30" customHeight="1" thickBot="1" x14ac:dyDescent="0.3">
      <c r="A38" s="6"/>
      <c r="B38" s="69" t="s">
        <v>32</v>
      </c>
      <c r="C38" s="53">
        <f>D37</f>
        <v>46213</v>
      </c>
      <c r="D38" s="53">
        <f>C38+3</f>
        <v>46216</v>
      </c>
      <c r="E38" s="8">
        <v>3</v>
      </c>
      <c r="F38" s="4"/>
      <c r="G38" s="29"/>
      <c r="H38" s="29"/>
      <c r="I38" s="29"/>
      <c r="J38" s="29"/>
      <c r="K38" s="29"/>
      <c r="L38" s="29"/>
      <c r="M38" s="29"/>
      <c r="N38" s="29"/>
      <c r="O38" s="29"/>
      <c r="P38" s="29"/>
      <c r="Q38" s="29"/>
      <c r="R38" s="29"/>
      <c r="S38" s="29"/>
      <c r="T38" s="29"/>
      <c r="U38" s="29"/>
      <c r="V38" s="29"/>
      <c r="W38" s="29"/>
      <c r="X38" s="29"/>
      <c r="Y38" s="29"/>
      <c r="Z38" s="29"/>
      <c r="AA38" s="29"/>
      <c r="AB38" s="29"/>
      <c r="AC38" s="29"/>
      <c r="AD38" s="29"/>
      <c r="AE38" s="29"/>
      <c r="AF38" s="29"/>
      <c r="AG38" s="29"/>
      <c r="AH38" s="29"/>
      <c r="AI38" s="29"/>
      <c r="AJ38" s="29"/>
      <c r="AK38" s="29"/>
      <c r="AL38" s="29"/>
      <c r="AM38" s="29"/>
      <c r="AN38" s="29"/>
      <c r="AO38" s="29"/>
      <c r="AP38" s="29"/>
      <c r="AQ38" s="29"/>
      <c r="AR38" s="29"/>
      <c r="AS38" s="29"/>
      <c r="AT38" s="29"/>
      <c r="AU38" s="29"/>
      <c r="AV38" s="29"/>
      <c r="AW38" s="29"/>
      <c r="AX38" s="29"/>
      <c r="AY38" s="29"/>
      <c r="AZ38" s="29"/>
      <c r="BA38" s="29"/>
      <c r="BB38" s="29"/>
      <c r="BC38" s="29"/>
      <c r="BD38" s="29"/>
      <c r="BE38" s="29"/>
      <c r="BF38" s="29"/>
      <c r="BG38" s="29"/>
      <c r="BH38" s="29"/>
      <c r="BI38" s="29"/>
      <c r="BJ38" s="29"/>
    </row>
    <row r="39" spans="1:62" s="30" customFormat="1" ht="30" customHeight="1" thickBot="1" x14ac:dyDescent="0.3">
      <c r="A39" s="6"/>
      <c r="B39" s="69" t="s">
        <v>33</v>
      </c>
      <c r="C39" s="53">
        <f>D38+1</f>
        <v>46217</v>
      </c>
      <c r="D39" s="53">
        <f>C39+74</f>
        <v>46291</v>
      </c>
      <c r="E39" s="8">
        <v>74</v>
      </c>
      <c r="F39" s="4"/>
      <c r="G39" s="29"/>
      <c r="H39" s="29"/>
      <c r="I39" s="29"/>
      <c r="J39" s="29"/>
      <c r="K39" s="29"/>
      <c r="L39" s="29"/>
      <c r="M39" s="29"/>
      <c r="N39" s="29"/>
      <c r="O39" s="29"/>
      <c r="P39" s="29"/>
      <c r="Q39" s="29"/>
      <c r="R39" s="29"/>
      <c r="S39" s="29"/>
      <c r="T39" s="29"/>
      <c r="U39" s="29"/>
      <c r="V39" s="29"/>
      <c r="W39" s="29"/>
      <c r="X39" s="29"/>
      <c r="Y39" s="29"/>
      <c r="Z39" s="29"/>
      <c r="AA39" s="29"/>
      <c r="AB39" s="29"/>
      <c r="AC39" s="29"/>
      <c r="AD39" s="29"/>
      <c r="AE39" s="29"/>
      <c r="AF39" s="29"/>
      <c r="AG39" s="29"/>
      <c r="AH39" s="29"/>
      <c r="AI39" s="29"/>
      <c r="AJ39" s="29"/>
      <c r="AK39" s="29"/>
      <c r="AL39" s="29"/>
      <c r="AM39" s="29"/>
      <c r="AN39" s="29"/>
      <c r="AO39" s="29"/>
      <c r="AP39" s="29"/>
      <c r="AQ39" s="29"/>
      <c r="AR39" s="29"/>
      <c r="AS39" s="29"/>
      <c r="AT39" s="29"/>
      <c r="AU39" s="29"/>
      <c r="AV39" s="29"/>
      <c r="AW39" s="29"/>
      <c r="AX39" s="29"/>
      <c r="AY39" s="29"/>
      <c r="AZ39" s="29"/>
      <c r="BA39" s="29"/>
      <c r="BB39" s="29"/>
      <c r="BC39" s="29"/>
      <c r="BD39" s="29"/>
      <c r="BE39" s="29"/>
      <c r="BF39" s="29"/>
      <c r="BG39" s="29"/>
      <c r="BH39" s="29"/>
      <c r="BI39" s="29"/>
      <c r="BJ39" s="29"/>
    </row>
    <row r="40" spans="1:62" s="30" customFormat="1" ht="30" customHeight="1" thickBot="1" x14ac:dyDescent="0.3">
      <c r="A40" s="6"/>
      <c r="B40" s="69" t="s">
        <v>48</v>
      </c>
      <c r="C40" s="53"/>
      <c r="D40" s="53"/>
      <c r="E40" s="8"/>
      <c r="F40" s="4"/>
      <c r="G40" s="29"/>
      <c r="H40" s="29"/>
      <c r="I40" s="29"/>
      <c r="J40" s="29"/>
      <c r="K40" s="29"/>
      <c r="L40" s="29"/>
      <c r="M40" s="29"/>
      <c r="N40" s="29"/>
      <c r="O40" s="29"/>
      <c r="P40" s="29"/>
      <c r="Q40" s="29"/>
      <c r="R40" s="29"/>
      <c r="S40" s="29"/>
      <c r="T40" s="29"/>
      <c r="U40" s="29"/>
      <c r="V40" s="29"/>
      <c r="W40" s="29"/>
      <c r="X40" s="29"/>
      <c r="Y40" s="29"/>
      <c r="Z40" s="29"/>
      <c r="AA40" s="29"/>
      <c r="AB40" s="29"/>
      <c r="AC40" s="29"/>
      <c r="AD40" s="29"/>
      <c r="AE40" s="29"/>
      <c r="AF40" s="29"/>
      <c r="AG40" s="29"/>
      <c r="AH40" s="29"/>
      <c r="AI40" s="29"/>
      <c r="AJ40" s="29"/>
      <c r="AK40" s="29"/>
      <c r="AL40" s="29"/>
      <c r="AM40" s="29"/>
      <c r="AN40" s="29"/>
      <c r="AO40" s="29"/>
      <c r="AP40" s="29"/>
      <c r="AQ40" s="29"/>
      <c r="AR40" s="29"/>
      <c r="AS40" s="29"/>
      <c r="AT40" s="29"/>
      <c r="AU40" s="29"/>
      <c r="AV40" s="29"/>
      <c r="AW40" s="29"/>
      <c r="AX40" s="29"/>
      <c r="AY40" s="29"/>
      <c r="AZ40" s="29"/>
      <c r="BA40" s="29"/>
      <c r="BB40" s="29"/>
      <c r="BC40" s="29"/>
      <c r="BD40" s="29"/>
      <c r="BE40" s="29"/>
      <c r="BF40" s="29"/>
      <c r="BG40" s="29"/>
      <c r="BH40" s="29"/>
      <c r="BI40" s="29"/>
      <c r="BJ40" s="29"/>
    </row>
    <row r="41" spans="1:62" s="30" customFormat="1" ht="30" customHeight="1" thickBot="1" x14ac:dyDescent="0.3">
      <c r="A41" s="6"/>
      <c r="B41" s="46"/>
      <c r="C41" s="47"/>
      <c r="D41" s="47"/>
      <c r="E41" s="8"/>
      <c r="F41" s="4" t="str">
        <f t="shared" si="0"/>
        <v/>
      </c>
      <c r="G41" s="29"/>
      <c r="H41" s="29"/>
      <c r="I41" s="29"/>
      <c r="J41" s="29"/>
      <c r="K41" s="29"/>
      <c r="L41" s="29"/>
      <c r="M41" s="29"/>
      <c r="N41" s="29"/>
      <c r="O41" s="29"/>
      <c r="P41" s="29"/>
      <c r="Q41" s="29"/>
      <c r="R41" s="29"/>
      <c r="S41" s="29"/>
      <c r="T41" s="29"/>
      <c r="U41" s="29"/>
      <c r="V41" s="29"/>
      <c r="W41" s="29"/>
      <c r="X41" s="29"/>
      <c r="Y41" s="29"/>
      <c r="Z41" s="29"/>
      <c r="AA41" s="29"/>
      <c r="AB41" s="29"/>
      <c r="AC41" s="29"/>
      <c r="AD41" s="29"/>
      <c r="AE41" s="29"/>
      <c r="AF41" s="29"/>
      <c r="AG41" s="29"/>
      <c r="AH41" s="29"/>
      <c r="AI41" s="29"/>
      <c r="AJ41" s="29"/>
      <c r="AK41" s="29"/>
      <c r="AL41" s="29"/>
      <c r="AM41" s="29"/>
      <c r="AN41" s="29"/>
      <c r="AO41" s="29"/>
      <c r="AP41" s="29"/>
      <c r="AQ41" s="29"/>
      <c r="AR41" s="29"/>
      <c r="AS41" s="29"/>
      <c r="AT41" s="29"/>
      <c r="AU41" s="29"/>
      <c r="AV41" s="29"/>
      <c r="AW41" s="29"/>
      <c r="AX41" s="29"/>
      <c r="AY41" s="29"/>
      <c r="AZ41" s="29"/>
      <c r="BA41" s="29"/>
      <c r="BB41" s="29"/>
      <c r="BC41" s="29"/>
      <c r="BD41" s="29"/>
      <c r="BE41" s="29"/>
      <c r="BF41" s="29"/>
      <c r="BG41" s="29"/>
      <c r="BH41" s="29"/>
      <c r="BI41" s="29"/>
      <c r="BJ41" s="29"/>
    </row>
    <row r="42" spans="1:62" s="30" customFormat="1" ht="30" customHeight="1" thickBot="1" x14ac:dyDescent="0.3">
      <c r="A42" s="7"/>
      <c r="B42" s="48"/>
      <c r="C42" s="49"/>
      <c r="D42" s="50"/>
      <c r="E42" s="8"/>
      <c r="F42" s="5" t="str">
        <f t="shared" si="0"/>
        <v/>
      </c>
      <c r="G42" s="51"/>
      <c r="H42" s="51"/>
      <c r="I42" s="51"/>
      <c r="J42" s="51"/>
      <c r="K42" s="51"/>
      <c r="L42" s="51"/>
      <c r="M42" s="51"/>
      <c r="N42" s="51"/>
      <c r="O42" s="51"/>
      <c r="P42" s="51"/>
      <c r="Q42" s="51"/>
      <c r="R42" s="51"/>
      <c r="S42" s="51"/>
      <c r="T42" s="51"/>
      <c r="U42" s="51"/>
      <c r="V42" s="51"/>
      <c r="W42" s="51"/>
      <c r="X42" s="51"/>
      <c r="Y42" s="51"/>
      <c r="Z42" s="51"/>
      <c r="AA42" s="51"/>
      <c r="AB42" s="51"/>
      <c r="AC42" s="51"/>
      <c r="AD42" s="51"/>
      <c r="AE42" s="51"/>
      <c r="AF42" s="51"/>
      <c r="AG42" s="51"/>
      <c r="AH42" s="51"/>
      <c r="AI42" s="51"/>
      <c r="AJ42" s="51"/>
      <c r="AK42" s="51"/>
      <c r="AL42" s="51"/>
      <c r="AM42" s="51"/>
      <c r="AN42" s="51"/>
      <c r="AO42" s="51"/>
      <c r="AP42" s="51"/>
      <c r="AQ42" s="51"/>
      <c r="AR42" s="51"/>
      <c r="AS42" s="51"/>
      <c r="AT42" s="51"/>
      <c r="AU42" s="51"/>
      <c r="AV42" s="51"/>
      <c r="AW42" s="51"/>
      <c r="AX42" s="51"/>
      <c r="AY42" s="51"/>
      <c r="AZ42" s="51"/>
      <c r="BA42" s="51"/>
      <c r="BB42" s="51"/>
      <c r="BC42" s="51"/>
      <c r="BD42" s="51"/>
      <c r="BE42" s="51"/>
      <c r="BF42" s="51"/>
      <c r="BG42" s="51"/>
      <c r="BH42" s="51"/>
      <c r="BI42" s="51"/>
      <c r="BJ42" s="51"/>
    </row>
    <row r="43" spans="1:62" ht="30" customHeight="1" x14ac:dyDescent="0.25">
      <c r="E43" s="3"/>
    </row>
    <row r="44" spans="1:62" ht="30" customHeight="1" x14ac:dyDescent="0.25">
      <c r="B44" t="s">
        <v>34</v>
      </c>
      <c r="C44" t="s">
        <v>35</v>
      </c>
      <c r="D44" t="s">
        <v>36</v>
      </c>
    </row>
    <row r="45" spans="1:62" ht="30" customHeight="1" x14ac:dyDescent="0.25">
      <c r="B45" t="s">
        <v>37</v>
      </c>
      <c r="C45" t="s">
        <v>35</v>
      </c>
      <c r="D45" t="s">
        <v>36</v>
      </c>
    </row>
    <row r="46" spans="1:62" ht="30" customHeight="1" x14ac:dyDescent="0.25">
      <c r="B46" t="s">
        <v>38</v>
      </c>
      <c r="C46" t="s">
        <v>35</v>
      </c>
      <c r="D46" t="s">
        <v>36</v>
      </c>
    </row>
    <row r="47" spans="1:62" ht="30" customHeight="1" x14ac:dyDescent="0.25">
      <c r="B47" t="s">
        <v>39</v>
      </c>
      <c r="C47" t="s">
        <v>35</v>
      </c>
      <c r="D47" t="s">
        <v>40</v>
      </c>
    </row>
  </sheetData>
  <mergeCells count="18">
    <mergeCell ref="A5:A6"/>
    <mergeCell ref="B5:B6"/>
    <mergeCell ref="C5:C6"/>
    <mergeCell ref="D5:D6"/>
    <mergeCell ref="O2:X2"/>
    <mergeCell ref="O1:X1"/>
    <mergeCell ref="G1:M1"/>
    <mergeCell ref="G2:M2"/>
    <mergeCell ref="E5:E6"/>
    <mergeCell ref="BK4:BQ4"/>
    <mergeCell ref="BD4:BJ4"/>
    <mergeCell ref="G4:M4"/>
    <mergeCell ref="N4:T4"/>
    <mergeCell ref="U4:AA4"/>
    <mergeCell ref="AB4:AH4"/>
    <mergeCell ref="AI4:AO4"/>
    <mergeCell ref="AP4:AV4"/>
    <mergeCell ref="AW4:BC4"/>
  </mergeCells>
  <conditionalFormatting sqref="G16:BJ21">
    <cfRule type="expression" dxfId="8" priority="4">
      <formula>AND(task_start&lt;=G$5,ROUNDDOWN((task_end-task_start+1)*task_progress,0)+task_start-1&gt;=G$5)</formula>
    </cfRule>
    <cfRule type="expression" dxfId="7" priority="5" stopIfTrue="1">
      <formula>AND(task_end&gt;=G$5,task_start&lt;H$5)</formula>
    </cfRule>
  </conditionalFormatting>
  <conditionalFormatting sqref="G23:BJ26">
    <cfRule type="expression" dxfId="6" priority="2">
      <formula>AND(task_start&lt;=G$5,ROUNDDOWN((task_end-task_start+1)*task_progress,0)+task_start-1&gt;=G$5)</formula>
    </cfRule>
    <cfRule type="expression" dxfId="5" priority="3" stopIfTrue="1">
      <formula>AND(task_end&gt;=G$5,task_start&lt;H$5)</formula>
    </cfRule>
  </conditionalFormatting>
  <conditionalFormatting sqref="G28:BJ40">
    <cfRule type="expression" dxfId="4" priority="36">
      <formula>AND(task_start&lt;=G$5,ROUNDDOWN((task_end-task_start+1)*task_progress,0)+task_start-1&gt;=G$5)</formula>
    </cfRule>
    <cfRule type="expression" dxfId="3" priority="37" stopIfTrue="1">
      <formula>AND(task_end&gt;=G$5,task_start&lt;H$5)</formula>
    </cfRule>
  </conditionalFormatting>
  <conditionalFormatting sqref="AI8:AI9 G9:BJ14">
    <cfRule type="expression" dxfId="2" priority="6">
      <formula>AND(task_start&lt;=G$5,ROUNDDOWN((task_end-task_start+1)*task_progress,0)+task_start-1&gt;=G$5)</formula>
    </cfRule>
    <cfRule type="expression" dxfId="1" priority="7" stopIfTrue="1">
      <formula>AND(task_end&gt;=G$5,task_start&lt;H$5)</formula>
    </cfRule>
  </conditionalFormatting>
  <conditionalFormatting sqref="BK4:BQ4 G4:BJ40">
    <cfRule type="expression" dxfId="0" priority="1">
      <formula>AND(TODAY()&gt;=G$5, TODAY()&lt;H$5)</formula>
    </cfRule>
  </conditionalFormatting>
  <dataValidations disablePrompts="1" count="13">
    <dataValidation type="whole" operator="greaterThanOrEqual" allowBlank="1" showInputMessage="1" promptTitle="Display Week" prompt="Changing this number will scroll the Gantt Chart view." sqref="O2" xr:uid="{00000000-0002-0000-0000-000000000000}">
      <formula1>1</formula1>
    </dataValidation>
    <dataValidation allowBlank="1" showInputMessage="1" showErrorMessage="1" prompt="Create a Project Schedule in this worksheet._x000a_Enter title of this project in cell B1. _x000a_Information on how to use this worksheet, including instructions for screen readers and the author of this workbook, is in the About worksheet._x000a_" sqref="A1" xr:uid="{D005F8F4-EA16-4627-8A05-1997BE425B88}"/>
    <dataValidation allowBlank="1" showInputMessage="1" showErrorMessage="1" prompt="Enter Company name in cel B2." sqref="A2" xr:uid="{75F274B0-5B30-4CC0-A53C-C012C0845179}"/>
    <dataValidation allowBlank="1" showInputMessage="1" showErrorMessage="1" prompt="Enter the name of the Project Lead in cell C3. Enter the Project Start date in cell Q1. Project Start: label is in cell I1." sqref="A3" xr:uid="{EEA7C783-457F-401F-98B9-9035587B9210}"/>
    <dataValidation allowBlank="1" showInputMessage="1" showErrorMessage="1" prompt="The Display week in cell Q2 is the starting week to display in the project schedule in cell I4. The project start date is Week 1. To change the display week, enter a new week number in cell Q2._x000a__x000a_Start date for each week is auto calculated starting in I4." sqref="A4" xr:uid="{43382715-6BC7-4B19-A31B-4B13A11ED166}"/>
    <dataValidation allowBlank="1" showInputMessage="1" showErrorMessage="1" prompt="Cells I5 through BL5 contain the day number for the week represented in the cell block above each date and are auto calculated._x000a__x000a_Today's date is outlined from today's date in row 5 through the entire date column to the end of the project schedule." sqref="A5:A6" xr:uid="{7A3789A6-A3FB-43B6-A4F7-8C0AC564F67E}"/>
    <dataValidation allowBlank="1" showInputMessage="1" showErrorMessage="1" prompt="Cell B8 contains the Phase 1 sample title. Enter a new title in cell B8._x000a_To delete the phase and work only from tasks, simply delete this row." sqref="A8" xr:uid="{CEC78982-AFA8-419E-B0A2-676B709E5100}"/>
    <dataValidation allowBlank="1" showInputMessage="1" showErrorMessage="1" prompt="B9 contains the task name.  C9 is the assignee.  D9 is a progress bar that shades based on the number entered into the cell.  _x000a__x000a_E9 contains the start date and F9 contains the end date._x000a__x000a_The Gantt chart will fill in starting in cell I9 based on task dates." sqref="A9" xr:uid="{D870A2F6-6B07-4F5A-A81D-4BCCFADF8796}"/>
    <dataValidation allowBlank="1" showInputMessage="1" showErrorMessage="1" prompt="Rows 10 through 13 repeat the pattern from row 9. _x000a__x000a_Repeat the instructions from cell A9 for all task rows in this worksheet. _x000a__x000a_Continue entering tasks in cells A10 through A13 or go to cell A14 to learn more." sqref="A10" xr:uid="{872449A7-C3CC-45B6-BA90-B1AAD66BA0E5}"/>
    <dataValidation allowBlank="1" showInputMessage="1" showErrorMessage="1" prompt="Cell B14 contains the Phase 2 sample title. Enter a new title in cell B14._x000a_To delete the phase and work only from tasks, simply delete this row. To remove the phase, simply delete the row. Add tasks to previous phase by entering a new row above this one._x000a_" sqref="A15" xr:uid="{4F48FC41-E335-47F1-87AA-3333A52AD81C}"/>
    <dataValidation allowBlank="1" showInputMessage="1" showErrorMessage="1" prompt="Phase 3's sample block starts in cell B20." sqref="A22" xr:uid="{956902D1-D3B5-416D-BB69-9362D193BC0A}"/>
    <dataValidation allowBlank="1" showInputMessage="1" showErrorMessage="1" prompt="Phase 4's sample block starts in cell B26." sqref="A27" xr:uid="{DE54E5DE-526D-4D71-8D03-E99B4AB2FEE5}"/>
    <dataValidation allowBlank="1" showInputMessage="1" showErrorMessage="1" prompt="This row marks the end of the Project Schedule. DO NOT enter anything in this row. _x000a_Insert new rows ABOVE this one to continue building out your Project Schedule." sqref="A42" xr:uid="{79B9237E-4DD3-4E0F-8ED6-E0B695A99D96}"/>
  </dataValidations>
  <printOptions horizontalCentered="1"/>
  <pageMargins left="0.35" right="0.35" top="0.35" bottom="0.5" header="0.3" footer="0.3"/>
  <pageSetup scale="25" fitToHeight="0" orientation="landscape" r:id="rId1"/>
  <headerFooter differentFirst="1" scaleWithDoc="0">
    <oddFooter>Page &amp;P of &amp;N</oddFooter>
  </headerFooter>
  <ignoredErrors>
    <ignoredError sqref="D25" formula="1"/>
  </ignoredErrors>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Image xmlns="71af3243-3dd4-4a8d-8c0d-dd76da1f02a5">
      <Url xsi:nil="true"/>
      <Description xsi:nil="true"/>
    </Image>
    <Status xmlns="71af3243-3dd4-4a8d-8c0d-dd76da1f02a5">Not started</Status>
    <Background xmlns="71af3243-3dd4-4a8d-8c0d-dd76da1f02a5">false</Background>
    <_ip_UnifiedCompliancePolicyProperties xmlns="http://schemas.microsoft.com/sharepoint/v3" xsi:nil="true"/>
    <ImageTagsTaxHTField xmlns="71af3243-3dd4-4a8d-8c0d-dd76da1f02a5">
      <Terms xmlns="http://schemas.microsoft.com/office/infopath/2007/PartnerControls"/>
    </ImageTagsTaxHTField>
    <TaxCatchAll xmlns="230e9df3-be65-4c73-a93b-d1236ebd677e" xsi:nil="true"/>
    <MediaServiceKeyPoints xmlns="71af3243-3dd4-4a8d-8c0d-dd76da1f02a5"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79F111ED35F8CC479449609E8A0923A6" ma:contentTypeVersion="28" ma:contentTypeDescription="Create a new document." ma:contentTypeScope="" ma:versionID="60f5a4f2d2b0abadcf532d48ebf9cb71">
  <xsd:schema xmlns:xsd="http://www.w3.org/2001/XMLSchema" xmlns:xs="http://www.w3.org/2001/XMLSchema" xmlns:p="http://schemas.microsoft.com/office/2006/metadata/properties" xmlns:ns1="http://schemas.microsoft.com/sharepoint/v3" xmlns:ns2="71af3243-3dd4-4a8d-8c0d-dd76da1f02a5" xmlns:ns3="16c05727-aa75-4e4a-9b5f-8a80a1165891" xmlns:ns4="230e9df3-be65-4c73-a93b-d1236ebd677e" targetNamespace="http://schemas.microsoft.com/office/2006/metadata/properties" ma:root="true" ma:fieldsID="7dd78129e6a1811f84807ad11c651531" ns1:_="" ns2:_="" ns3:_="" ns4:_="">
    <xsd:import namespace="http://schemas.microsoft.com/sharepoint/v3"/>
    <xsd:import namespace="71af3243-3dd4-4a8d-8c0d-dd76da1f02a5"/>
    <xsd:import namespace="16c05727-aa75-4e4a-9b5f-8a80a1165891"/>
    <xsd:import namespace="230e9df3-be65-4c73-a93b-d1236ebd677e"/>
    <xsd:element name="properties">
      <xsd:complexType>
        <xsd:sequence>
          <xsd:element name="documentManagement">
            <xsd:complexType>
              <xsd:all>
                <xsd:element ref="ns2:Status" minOccurs="0"/>
                <xsd:element ref="ns2:Image" minOccurs="0"/>
                <xsd:element ref="ns2:MediaServiceMetadata" minOccurs="0"/>
                <xsd:element ref="ns2:MediaServiceFastMetadata" minOccurs="0"/>
                <xsd:element ref="ns2:MediaServiceOCR" minOccurs="0"/>
                <xsd:element ref="ns2:MediaServiceAutoTags" minOccurs="0"/>
                <xsd:element ref="ns2:MediaServiceEventHashCode" minOccurs="0"/>
                <xsd:element ref="ns2:MediaServiceGenerationTime" minOccurs="0"/>
                <xsd:element ref="ns3:SharedWithUsers" minOccurs="0"/>
                <xsd:element ref="ns3:SharedWithDetails" minOccurs="0"/>
                <xsd:element ref="ns2:MediaServiceAutoKeyPoints" minOccurs="0"/>
                <xsd:element ref="ns2:MediaServiceKeyPoints" minOccurs="0"/>
                <xsd:element ref="ns2:MediaServiceDateTaken" minOccurs="0"/>
                <xsd:element ref="ns1:_ip_UnifiedCompliancePolicyProperties" minOccurs="0"/>
                <xsd:element ref="ns1:_ip_UnifiedCompliancePolicyUIAction" minOccurs="0"/>
                <xsd:element ref="ns4:TaxCatchAll" minOccurs="0"/>
                <xsd:element ref="ns2:ImageTagsTaxHTField" minOccurs="0"/>
                <xsd:element ref="ns2:MediaServiceLocation" minOccurs="0"/>
                <xsd:element ref="ns2:MediaLengthInSeconds" minOccurs="0"/>
                <xsd:element ref="ns2:Background" minOccurs="0"/>
                <xsd:element ref="ns2:MediaServiceSearchProperties" minOccurs="0"/>
                <xsd:element ref="ns2:MediaServiceDocTags" minOccurs="0"/>
                <xsd:element ref="ns2:MediaServiceObjectDetectorVersions" minOccurs="0"/>
                <xsd:element ref="ns2:MediaServiceSystemTag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ma:readOnly="false">
      <xsd:simpleType>
        <xsd:restriction base="dms:Note"/>
      </xsd:simpleType>
    </xsd:element>
    <xsd:element name="_ip_UnifiedCompliancePolicyUIAction" ma:index="21" nillable="true" ma:displayName="Unified Compliance Policy UI Action" ma:hidden="true" ma:internalName="_ip_UnifiedCompliancePolicyUIAction" ma:readOnly="fals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1af3243-3dd4-4a8d-8c0d-dd76da1f02a5" elementFormDefault="qualified">
    <xsd:import namespace="http://schemas.microsoft.com/office/2006/documentManagement/types"/>
    <xsd:import namespace="http://schemas.microsoft.com/office/infopath/2007/PartnerControls"/>
    <xsd:element name="Status" ma:index="2" nillable="true" ma:displayName="Status" ma:default="Not started" ma:format="Dropdown" ma:internalName="Status" ma:readOnly="false">
      <xsd:simpleType>
        <xsd:restriction base="dms:Choice">
          <xsd:enumeration value="Not started"/>
          <xsd:enumeration value="In Progress"/>
          <xsd:enumeration value="Completed"/>
        </xsd:restriction>
      </xsd:simpleType>
    </xsd:element>
    <xsd:element name="Image" ma:index="3" nillable="true" ma:displayName="Image" ma:format="Image" ma:internalName="Image" ma:readOnly="false">
      <xsd:complexType>
        <xsd:complexContent>
          <xsd:extension base="dms:URL">
            <xsd:sequence>
              <xsd:element name="Url" type="dms:ValidUrl" minOccurs="0" nillable="true"/>
              <xsd:element name="Description" type="xsd:string" nillable="true"/>
            </xsd:sequence>
          </xsd:extension>
        </xsd:complexContent>
      </xsd:complexType>
    </xsd:element>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MediaServiceOCR" ma:hidden="true" ma:internalName="MediaServiceOCR" ma:readOnly="true">
      <xsd:simpleType>
        <xsd:restriction base="dms:Note"/>
      </xsd:simpleType>
    </xsd:element>
    <xsd:element name="MediaServiceAutoTags" ma:index="11" nillable="true" ma:displayName="MediaServiceAutoTags" ma:hidden="true" ma:internalName="MediaServiceAutoTags"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hidden="true" ma:internalName="MediaServiceKeyPoints" ma:readOnly="false">
      <xsd:simpleType>
        <xsd:restriction base="dms:Note"/>
      </xsd:simpleType>
    </xsd:element>
    <xsd:element name="MediaServiceDateTaken" ma:index="18" nillable="true" ma:displayName="MediaServiceDateTaken" ma:hidden="true" ma:internalName="MediaServiceDateTaken" ma:readOnly="true">
      <xsd:simpleType>
        <xsd:restriction base="dms:Text"/>
      </xsd:simpleType>
    </xsd:element>
    <xsd:element name="ImageTagsTaxHTField" ma:index="25" nillable="true" ma:taxonomy="true" ma:internalName="ImageTagsTaxHTField" ma:taxonomyFieldName="MediaServiceImageTags" ma:displayName="Image Tags" ma:readOnly="false" ma:fieldId="{5cf76f15-5ced-4ddc-b409-7134ff3c332f}" ma:taxonomyMulti="true" ma:sspId="e385fb40-52d4-4fae-9c5b-3e8ff8a5878e" ma:termSetId="09814cd3-568e-fe90-9814-8d621ff8fb84" ma:anchorId="fba54fb3-c3e1-fe81-a776-ca4b69148c4d" ma:open="true" ma:isKeyword="false">
      <xsd:complexType>
        <xsd:sequence>
          <xsd:element ref="pc:Terms" minOccurs="0" maxOccurs="1"/>
        </xsd:sequence>
      </xsd:complexType>
    </xsd:element>
    <xsd:element name="MediaServiceLocation" ma:index="26" nillable="true" ma:displayName="Location" ma:hidden="true" ma:internalName="MediaServiceLocation" ma:readOnly="true">
      <xsd:simpleType>
        <xsd:restriction base="dms:Text"/>
      </xsd:simpleType>
    </xsd:element>
    <xsd:element name="MediaLengthInSeconds" ma:index="27" nillable="true" ma:displayName="MediaLengthInSeconds" ma:hidden="true" ma:internalName="MediaLengthInSeconds" ma:readOnly="true">
      <xsd:simpleType>
        <xsd:restriction base="dms:Unknown"/>
      </xsd:simpleType>
    </xsd:element>
    <xsd:element name="Background" ma:index="28" nillable="true" ma:displayName="Background" ma:default="0" ma:format="Dropdown" ma:internalName="Background">
      <xsd:simpleType>
        <xsd:restriction base="dms:Boolean"/>
      </xsd:simpleType>
    </xsd:element>
    <xsd:element name="MediaServiceSearchProperties" ma:index="29" nillable="true" ma:displayName="MediaServiceSearchProperties" ma:hidden="true" ma:internalName="MediaServiceSearchProperties" ma:readOnly="true">
      <xsd:simpleType>
        <xsd:restriction base="dms:Note"/>
      </xsd:simpleType>
    </xsd:element>
    <xsd:element name="MediaServiceDocTags" ma:index="30" nillable="true" ma:displayName="MediaServiceDocTags" ma:hidden="true" ma:internalName="MediaServiceDocTags" ma:readOnly="true">
      <xsd:simpleType>
        <xsd:restriction base="dms:Note"/>
      </xsd:simpleType>
    </xsd:element>
    <xsd:element name="MediaServiceObjectDetectorVersions" ma:index="31" nillable="true" ma:displayName="MediaServiceObjectDetectorVersions" ma:description="" ma:hidden="true" ma:indexed="true" ma:internalName="MediaServiceObjectDetectorVersions" ma:readOnly="true">
      <xsd:simpleType>
        <xsd:restriction base="dms:Text"/>
      </xsd:simpleType>
    </xsd:element>
    <xsd:element name="MediaServiceSystemTags" ma:index="32" nillable="true" ma:displayName="MediaServiceSystemTags" ma:hidden="true" ma:internalName="MediaServiceSystemTag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6c05727-aa75-4e4a-9b5f-8a80a1165891" elementFormDefault="qualified">
    <xsd:import namespace="http://schemas.microsoft.com/office/2006/documentManagement/types"/>
    <xsd:import namespace="http://schemas.microsoft.com/office/infopath/2007/PartnerControls"/>
    <xsd:element name="SharedWithUsers" ma:index="14"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hidden="true" ma:internalName="SharedWithDetail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30e9df3-be65-4c73-a93b-d1236ebd677e"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3f6bfcbc-3db3-4ae6-bd76-326f0798ad28}" ma:internalName="TaxCatchAll" ma:readOnly="false" ma:showField="CatchAllData" ma:web="16c05727-aa75-4e4a-9b5f-8a80a116589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A82239A0-E68C-493F-BEE6-C77FEA397FD6}">
  <ds:schemaRefs>
    <ds:schemaRef ds:uri="http://purl.org/dc/elements/1.1/"/>
    <ds:schemaRef ds:uri="16c05727-aa75-4e4a-9b5f-8a80a1165891"/>
    <ds:schemaRef ds:uri="http://schemas.microsoft.com/sharepoint/v3"/>
    <ds:schemaRef ds:uri="http://schemas.microsoft.com/office/2006/documentManagement/types"/>
    <ds:schemaRef ds:uri="http://schemas.microsoft.com/office/infopath/2007/PartnerControls"/>
    <ds:schemaRef ds:uri="http://purl.org/dc/dcmitype/"/>
    <ds:schemaRef ds:uri="http://schemas.openxmlformats.org/package/2006/metadata/core-properties"/>
    <ds:schemaRef ds:uri="230e9df3-be65-4c73-a93b-d1236ebd677e"/>
    <ds:schemaRef ds:uri="http://schemas.microsoft.com/office/2006/metadata/properties"/>
    <ds:schemaRef ds:uri="71af3243-3dd4-4a8d-8c0d-dd76da1f02a5"/>
    <ds:schemaRef ds:uri="http://www.w3.org/XML/1998/namespace"/>
    <ds:schemaRef ds:uri="http://purl.org/dc/terms/"/>
  </ds:schemaRefs>
</ds:datastoreItem>
</file>

<file path=customXml/itemProps2.xml><?xml version="1.0" encoding="utf-8"?>
<ds:datastoreItem xmlns:ds="http://schemas.openxmlformats.org/officeDocument/2006/customXml" ds:itemID="{A09426A3-87E9-4865-8A6C-3456B026AE0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71af3243-3dd4-4a8d-8c0d-dd76da1f02a5"/>
    <ds:schemaRef ds:uri="16c05727-aa75-4e4a-9b5f-8a80a1165891"/>
    <ds:schemaRef ds:uri="230e9df3-be65-4c73-a93b-d1236ebd677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97245281-08F3-4104-84BD-39F3D8CFB195}">
  <ds:schemaRefs>
    <ds:schemaRef ds:uri="http://schemas.microsoft.com/sharepoint/v3/contenttype/forms"/>
  </ds:schemaRefs>
</ds:datastoreItem>
</file>

<file path=docMetadata/LabelInfo.xml><?xml version="1.0" encoding="utf-8"?>
<clbl:labelList xmlns:clbl="http://schemas.microsoft.com/office/2020/mipLabelMetadata"/>
</file>

<file path=docProps/app.xml><?xml version="1.0" encoding="utf-8"?>
<Properties xmlns="http://schemas.openxmlformats.org/officeDocument/2006/extended-properties" xmlns:vt="http://schemas.openxmlformats.org/officeDocument/2006/docPropsVTypes">
  <Template>TM16400962</Template>
  <Application>Microsoft Excel</Application>
  <DocSecurity>0</DocSecurity>
  <ScaleCrop>false</ScaleCrop>
  <HeadingPairs>
    <vt:vector size="4" baseType="variant">
      <vt:variant>
        <vt:lpstr>Worksheets</vt:lpstr>
      </vt:variant>
      <vt:variant>
        <vt:i4>1</vt:i4>
      </vt:variant>
      <vt:variant>
        <vt:lpstr>Named Ranges</vt:lpstr>
      </vt:variant>
      <vt:variant>
        <vt:i4>5</vt:i4>
      </vt:variant>
    </vt:vector>
  </HeadingPairs>
  <TitlesOfParts>
    <vt:vector size="6" baseType="lpstr">
      <vt:lpstr>Project schedule</vt:lpstr>
      <vt:lpstr>Display_Week</vt:lpstr>
      <vt:lpstr>'Project schedule'!Print_Titles</vt:lpstr>
      <vt:lpstr>Project_Start</vt:lpstr>
      <vt:lpstr>'Project schedule'!task_end</vt:lpstr>
      <vt:lpstr>'Project schedule'!task_start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Fadeel Phillips</dc:creator>
  <dc:description/>
  <cp:lastModifiedBy>Fadeel Phillips</cp:lastModifiedBy>
  <cp:lastPrinted>2026-03-12T05:18:10Z</cp:lastPrinted>
  <dcterms:created xsi:type="dcterms:W3CDTF">2022-03-11T22:41:12Z</dcterms:created>
  <dcterms:modified xsi:type="dcterms:W3CDTF">2026-06-29T19:26:42Z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0x01010079F111ED35F8CC479449609E8A0923A6</vt:lpwstr>
  </property>
  <property fmtid="{D5CDD505-2E9C-101B-9397-08002B2CF9AE}" pid="3" name="MediaServiceImageTags">
    <vt:lpwstr/>
  </property>
</Properties>
</file>