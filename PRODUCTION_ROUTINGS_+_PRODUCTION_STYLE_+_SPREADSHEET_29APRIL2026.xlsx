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y Moodley\Desktop\SUB1\P2\SPREADSHEETS(DONE)\"/>
    </mc:Choice>
  </mc:AlternateContent>
  <xr:revisionPtr revIDLastSave="0" documentId="13_ncr:1_{14AB41B4-F71A-4EB7-A6C0-CC63F7431596}" xr6:coauthVersionLast="47" xr6:coauthVersionMax="47" xr10:uidLastSave="{00000000-0000-0000-0000-000000000000}"/>
  <bookViews>
    <workbookView xWindow="-108" yWindow="-108" windowWidth="23256" windowHeight="12576" activeTab="1" xr2:uid="{EDDBA280-D368-4032-BD6E-A81BC0A8ED26}"/>
  </bookViews>
  <sheets>
    <sheet name="SS2" sheetId="6" r:id="rId1"/>
    <sheet name="Sheet1" sheetId="9" r:id="rId2"/>
    <sheet name="SPREADSHEET 2 MACHINES" sheetId="8" r:id="rId3"/>
    <sheet name="SPREADSHEET 1 OPERATIONS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13" i="6" l="1"/>
  <c r="AS14" i="6"/>
  <c r="AS12" i="6"/>
  <c r="AS5" i="6"/>
  <c r="AS6" i="6"/>
  <c r="AS7" i="6"/>
  <c r="AS8" i="6"/>
  <c r="AS9" i="6"/>
  <c r="AS10" i="6"/>
  <c r="AS11" i="6"/>
  <c r="AS4" i="6"/>
</calcChain>
</file>

<file path=xl/sharedStrings.xml><?xml version="1.0" encoding="utf-8"?>
<sst xmlns="http://schemas.openxmlformats.org/spreadsheetml/2006/main" count="332" uniqueCount="127">
  <si>
    <t>Part Name</t>
  </si>
  <si>
    <t>PW-STR-001-M</t>
  </si>
  <si>
    <t>PW-STR-002-M</t>
  </si>
  <si>
    <t>PW-STR-003-M</t>
  </si>
  <si>
    <t>Nozzle Bar Frame</t>
  </si>
  <si>
    <t>PW-STR-004-M</t>
  </si>
  <si>
    <t>PW-STR-006-M</t>
  </si>
  <si>
    <t>Scriber &amp; measuring instrument</t>
  </si>
  <si>
    <t>Inspection</t>
  </si>
  <si>
    <t>Elbow Pipe</t>
  </si>
  <si>
    <t>Mounting Bracket</t>
  </si>
  <si>
    <t>Base Plate</t>
  </si>
  <si>
    <t>PW-STR-005-M</t>
  </si>
  <si>
    <t>T-Pipe</t>
  </si>
  <si>
    <t>Pipe Fitting 1</t>
  </si>
  <si>
    <t>PW-STR-007-M</t>
  </si>
  <si>
    <t>Pipe Fitting 2</t>
  </si>
  <si>
    <t xml:space="preserve">Milling Machine </t>
  </si>
  <si>
    <t>PW-STR-008-M</t>
  </si>
  <si>
    <t>Handlebar</t>
  </si>
  <si>
    <t>Part number</t>
  </si>
  <si>
    <t>TOTAL</t>
  </si>
  <si>
    <t>Vernier Calipers, Height Gauge, and Check Fixture.</t>
  </si>
  <si>
    <t>Manual Inspection / Go-No-Go Gauges.</t>
  </si>
  <si>
    <t>Vernier Calipers and 90∘ Squareness Gauge.</t>
  </si>
  <si>
    <t>Vernier Calipers and Precision Square.</t>
  </si>
  <si>
    <t>Vernier Calipers and internal plug gauges.</t>
  </si>
  <si>
    <t>Waterjet Cutter</t>
  </si>
  <si>
    <t xml:space="preserve">Manual Deburring Tool </t>
  </si>
  <si>
    <t xml:space="preserve">CNC Rotary Mandrel Pipe Bender </t>
  </si>
  <si>
    <t xml:space="preserve">Vertical Milling Machine </t>
  </si>
  <si>
    <t xml:space="preserve">Vertical Drill Press </t>
  </si>
  <si>
    <t xml:space="preserve"> Buffing Wheel.</t>
  </si>
  <si>
    <t xml:space="preserve">Bench Grinder </t>
  </si>
  <si>
    <t xml:space="preserve">Flexible Shaft Grinder </t>
  </si>
  <si>
    <t xml:space="preserve">Surface Grinder </t>
  </si>
  <si>
    <t>Pneumatic Deburring Tool</t>
  </si>
  <si>
    <t xml:space="preserve">Deburring Tool </t>
  </si>
  <si>
    <t>Cold Saw</t>
  </si>
  <si>
    <t>Go-No-Go Gauges</t>
  </si>
  <si>
    <t xml:space="preserve">Buffing Wheel </t>
  </si>
  <si>
    <t xml:space="preserve">Tube Deburring Tool </t>
  </si>
  <si>
    <t>Abrasive Belt Sander</t>
  </si>
  <si>
    <t>Horizontal Band Saw</t>
  </si>
  <si>
    <t>Vernier Calipers</t>
  </si>
  <si>
    <t>Height Gauge</t>
  </si>
  <si>
    <t>Check Fixture</t>
  </si>
  <si>
    <t xml:space="preserve">TIG Welder </t>
  </si>
  <si>
    <t>Plug Gauges</t>
  </si>
  <si>
    <t>Precision Square</t>
  </si>
  <si>
    <t xml:space="preserve"> 90∘ Squareness Gauge</t>
  </si>
  <si>
    <t xml:space="preserve"> V-block alignment jig</t>
  </si>
  <si>
    <t>Dial Indicator</t>
  </si>
  <si>
    <t>V-block clamp</t>
  </si>
  <si>
    <t>Total</t>
  </si>
  <si>
    <t>Inspection Table</t>
  </si>
  <si>
    <t>Alignment Jig</t>
  </si>
  <si>
    <t>Surface Plate</t>
  </si>
  <si>
    <t>SPREADSHEET 1: OPERATIONS</t>
  </si>
  <si>
    <t>PART NO</t>
  </si>
  <si>
    <t xml:space="preserve">OPER.1 </t>
  </si>
  <si>
    <t>OPER.2</t>
  </si>
  <si>
    <t>OPER.3</t>
  </si>
  <si>
    <t>OPER.4</t>
  </si>
  <si>
    <t>OPER.5</t>
  </si>
  <si>
    <t>OPER.6</t>
  </si>
  <si>
    <t>OPER.7</t>
  </si>
  <si>
    <t>Cutting</t>
  </si>
  <si>
    <t>Milling</t>
  </si>
  <si>
    <t>Deburring</t>
  </si>
  <si>
    <t>Welding</t>
  </si>
  <si>
    <t>Surface Finishing</t>
  </si>
  <si>
    <t>OPER.8</t>
  </si>
  <si>
    <t>Bending</t>
  </si>
  <si>
    <t>Drilling</t>
  </si>
  <si>
    <t>SPREADSHEET 2: MACHINES</t>
  </si>
  <si>
    <t>Cold saw</t>
  </si>
  <si>
    <t>Deburring Tool</t>
  </si>
  <si>
    <t>Milling machine</t>
  </si>
  <si>
    <t>Abrasive belt sander</t>
  </si>
  <si>
    <t>Vertical drill press</t>
  </si>
  <si>
    <t>Horizontal band saw</t>
  </si>
  <si>
    <t>Manual Deburring tool</t>
  </si>
  <si>
    <t>Tig Welder &amp; V-block allignment Jig</t>
  </si>
  <si>
    <t xml:space="preserve">Buffing wheel </t>
  </si>
  <si>
    <t>Milling mahine &amp; V-block clamp</t>
  </si>
  <si>
    <t>Buffing wheel</t>
  </si>
  <si>
    <t>Vernier Caliper and Plug Gauges</t>
  </si>
  <si>
    <t>PW-STR-009-M</t>
  </si>
  <si>
    <t>PW-STR-010-M</t>
  </si>
  <si>
    <t>Calipers, Thread Gauge</t>
  </si>
  <si>
    <t>OG Threading Tool</t>
  </si>
  <si>
    <t>Drill bit</t>
  </si>
  <si>
    <t>CNC Lathe</t>
  </si>
  <si>
    <t>O-ring Tool</t>
  </si>
  <si>
    <t>Manual Assembly Station</t>
  </si>
  <si>
    <t>Optical Comparator, Calipers</t>
  </si>
  <si>
    <t>Ultrasonic Cleaner</t>
  </si>
  <si>
    <t>Tube Deburring Tool</t>
  </si>
  <si>
    <t>Vertical Drill Press</t>
  </si>
  <si>
    <t>Tig Welder &amp; custom allignment Jig</t>
  </si>
  <si>
    <t>Flexible Shaft Grinder</t>
  </si>
  <si>
    <t>Vernier Calipers and Surface Plate</t>
  </si>
  <si>
    <t>Vertical Milling Machine</t>
  </si>
  <si>
    <t>Surface Grinder</t>
  </si>
  <si>
    <t>Bench Grinder</t>
  </si>
  <si>
    <t>Vernier Calipers, Durface Plate, Dial Indicator</t>
  </si>
  <si>
    <t>PW-STR-009M</t>
  </si>
  <si>
    <t>CNC Mill</t>
  </si>
  <si>
    <t>PW-STR-010M</t>
  </si>
  <si>
    <t>Tap &amp; Die</t>
  </si>
  <si>
    <t>Turning</t>
  </si>
  <si>
    <t>Cleaning</t>
  </si>
  <si>
    <t>Assemble</t>
  </si>
  <si>
    <t>Testing</t>
  </si>
  <si>
    <t>Measure &amp; mark</t>
  </si>
  <si>
    <t>Deburr</t>
  </si>
  <si>
    <t xml:space="preserve">Deburr </t>
  </si>
  <si>
    <t>Flat Spray Nozzles</t>
  </si>
  <si>
    <t>Swivel Fittings</t>
  </si>
  <si>
    <t>Threading Tool</t>
  </si>
  <si>
    <t>Drill &amp; Drill Bit</t>
  </si>
  <si>
    <t>Calipers</t>
  </si>
  <si>
    <t>Thread Gauge</t>
  </si>
  <si>
    <t>Optical Comparator</t>
  </si>
  <si>
    <t xml:space="preserve">                                 MACHINE SPREADSHEET</t>
  </si>
  <si>
    <t>PRODUCT FOCUSED PRODUCTION STYLE - HIGH VOLUME LOW VARIETY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</si>
</sst>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6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6" fillId="0" borderId="0" xfId="0" applyFont="1" applyAlignment="1">
      <alignment horizontal="left" vertical="center" wrapText="1"/>
    </xf>
    <xf numFmtId="0" fontId="0" fillId="0" borderId="1" xfId="0" applyBorder="1" applyAlignment="1">
      <alignment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/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wrapText="1"/>
    </xf>
    <xf numFmtId="0" fontId="5" fillId="0" borderId="0" xfId="0" applyFont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86D9E-E9A3-4475-AF3B-72127EC74D58}">
  <sheetPr>
    <pageSetUpPr fitToPage="1"/>
  </sheetPr>
  <dimension ref="A2:AS25"/>
  <sheetViews>
    <sheetView zoomScaleNormal="100" workbookViewId="0">
      <selection activeCell="A2" sqref="A2:AS2"/>
    </sheetView>
  </sheetViews>
  <sheetFormatPr defaultRowHeight="14.4" x14ac:dyDescent="0.3"/>
  <cols>
    <col min="1" max="1" width="17" style="8" bestFit="1" customWidth="1"/>
    <col min="2" max="2" width="18.6640625" bestFit="1" customWidth="1"/>
    <col min="3" max="3" width="11.5546875" customWidth="1"/>
    <col min="4" max="4" width="8.6640625" customWidth="1"/>
    <col min="5" max="5" width="11" bestFit="1" customWidth="1"/>
    <col min="6" max="6" width="11" customWidth="1"/>
    <col min="7" max="7" width="9.33203125" bestFit="1" customWidth="1"/>
    <col min="8" max="8" width="9.33203125" customWidth="1"/>
    <col min="9" max="10" width="10.6640625" bestFit="1" customWidth="1"/>
    <col min="11" max="11" width="10.6640625" customWidth="1"/>
    <col min="12" max="12" width="10.6640625" bestFit="1" customWidth="1"/>
    <col min="13" max="17" width="10.6640625" customWidth="1"/>
    <col min="18" max="18" width="9.21875" bestFit="1" customWidth="1"/>
    <col min="19" max="19" width="13.88671875" customWidth="1"/>
    <col min="20" max="20" width="8.109375" bestFit="1" customWidth="1"/>
    <col min="21" max="21" width="11.5546875" customWidth="1"/>
    <col min="22" max="22" width="8.33203125" customWidth="1"/>
    <col min="23" max="23" width="8.5546875" customWidth="1"/>
    <col min="24" max="24" width="8.21875" customWidth="1"/>
    <col min="28" max="28" width="9.5546875" customWidth="1"/>
    <col min="31" max="32" width="12" customWidth="1"/>
    <col min="33" max="33" width="11.77734375" customWidth="1"/>
    <col min="36" max="36" width="11.33203125" customWidth="1"/>
    <col min="39" max="40" width="11.33203125" customWidth="1"/>
    <col min="41" max="42" width="11.5546875" customWidth="1"/>
    <col min="43" max="43" width="10.21875" customWidth="1"/>
    <col min="44" max="44" width="14.21875" customWidth="1"/>
  </cols>
  <sheetData>
    <row r="2" spans="1:45" ht="15.6" x14ac:dyDescent="0.3">
      <c r="A2" s="33" t="s">
        <v>125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</row>
    <row r="3" spans="1:45" ht="60" x14ac:dyDescent="0.3">
      <c r="A3" s="3" t="s">
        <v>20</v>
      </c>
      <c r="B3" s="3" t="s">
        <v>0</v>
      </c>
      <c r="C3" s="13" t="s">
        <v>7</v>
      </c>
      <c r="D3" s="13" t="s">
        <v>38</v>
      </c>
      <c r="E3" s="5" t="s">
        <v>43</v>
      </c>
      <c r="F3" s="5" t="s">
        <v>97</v>
      </c>
      <c r="G3" s="5" t="s">
        <v>27</v>
      </c>
      <c r="H3" s="5" t="s">
        <v>121</v>
      </c>
      <c r="I3" s="13" t="s">
        <v>37</v>
      </c>
      <c r="J3" s="13" t="s">
        <v>41</v>
      </c>
      <c r="K3" s="13" t="s">
        <v>110</v>
      </c>
      <c r="L3" s="6" t="s">
        <v>28</v>
      </c>
      <c r="M3" s="6" t="s">
        <v>124</v>
      </c>
      <c r="N3" s="6" t="s">
        <v>94</v>
      </c>
      <c r="O3" s="6" t="s">
        <v>120</v>
      </c>
      <c r="P3" s="6" t="s">
        <v>108</v>
      </c>
      <c r="Q3" s="6" t="s">
        <v>93</v>
      </c>
      <c r="R3" s="5" t="s">
        <v>30</v>
      </c>
      <c r="S3" s="13" t="s">
        <v>29</v>
      </c>
      <c r="T3" s="5" t="s">
        <v>17</v>
      </c>
      <c r="U3" s="6" t="s">
        <v>53</v>
      </c>
      <c r="V3" s="5" t="s">
        <v>33</v>
      </c>
      <c r="W3" s="5" t="s">
        <v>31</v>
      </c>
      <c r="X3" s="6" t="s">
        <v>32</v>
      </c>
      <c r="Y3" s="6" t="s">
        <v>44</v>
      </c>
      <c r="Z3" s="6" t="s">
        <v>45</v>
      </c>
      <c r="AA3" s="6" t="s">
        <v>46</v>
      </c>
      <c r="AB3" s="13" t="s">
        <v>42</v>
      </c>
      <c r="AC3" s="6" t="s">
        <v>47</v>
      </c>
      <c r="AD3" s="5" t="s">
        <v>35</v>
      </c>
      <c r="AE3" s="5" t="s">
        <v>36</v>
      </c>
      <c r="AF3" s="5" t="s">
        <v>57</v>
      </c>
      <c r="AG3" s="5" t="s">
        <v>28</v>
      </c>
      <c r="AH3" s="6" t="s">
        <v>48</v>
      </c>
      <c r="AI3" s="6" t="s">
        <v>123</v>
      </c>
      <c r="AJ3" s="6" t="s">
        <v>49</v>
      </c>
      <c r="AK3" s="6" t="s">
        <v>50</v>
      </c>
      <c r="AL3" s="6" t="s">
        <v>34</v>
      </c>
      <c r="AM3" s="6" t="s">
        <v>56</v>
      </c>
      <c r="AN3" s="6" t="s">
        <v>122</v>
      </c>
      <c r="AO3" s="6" t="s">
        <v>51</v>
      </c>
      <c r="AP3" s="9" t="s">
        <v>39</v>
      </c>
      <c r="AQ3" s="6" t="s">
        <v>52</v>
      </c>
      <c r="AR3" s="6" t="s">
        <v>55</v>
      </c>
      <c r="AS3" s="6" t="s">
        <v>54</v>
      </c>
    </row>
    <row r="4" spans="1:45" ht="15.6" x14ac:dyDescent="0.3">
      <c r="A4" s="3" t="s">
        <v>1</v>
      </c>
      <c r="B4" s="1" t="s">
        <v>19</v>
      </c>
      <c r="C4" s="2">
        <v>1</v>
      </c>
      <c r="D4" s="2">
        <v>1</v>
      </c>
      <c r="E4" s="2"/>
      <c r="F4" s="2"/>
      <c r="G4" s="2"/>
      <c r="H4" s="2"/>
      <c r="I4" s="2">
        <v>1</v>
      </c>
      <c r="J4" s="2"/>
      <c r="K4" s="2"/>
      <c r="L4" s="2"/>
      <c r="M4" s="12"/>
      <c r="N4" s="12"/>
      <c r="O4" s="12"/>
      <c r="P4" s="12"/>
      <c r="Q4" s="12"/>
      <c r="R4" s="12"/>
      <c r="S4" s="12">
        <v>2</v>
      </c>
      <c r="T4" s="12"/>
      <c r="U4" s="12"/>
      <c r="V4" s="12"/>
      <c r="W4" s="2"/>
      <c r="X4" s="2">
        <v>1</v>
      </c>
      <c r="Y4" s="18">
        <v>1</v>
      </c>
      <c r="Z4" s="18">
        <v>1</v>
      </c>
      <c r="AA4" s="18">
        <v>1</v>
      </c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>
        <v>1</v>
      </c>
      <c r="AQ4" s="18"/>
      <c r="AR4" s="18">
        <v>1</v>
      </c>
      <c r="AS4" s="18">
        <f>SUM(C4:AR4)</f>
        <v>11</v>
      </c>
    </row>
    <row r="5" spans="1:45" ht="15.6" x14ac:dyDescent="0.3">
      <c r="A5" s="3" t="s">
        <v>2</v>
      </c>
      <c r="B5" s="1" t="s">
        <v>9</v>
      </c>
      <c r="C5" s="2">
        <v>1</v>
      </c>
      <c r="D5" s="2">
        <v>1</v>
      </c>
      <c r="E5" s="2"/>
      <c r="F5" s="2"/>
      <c r="G5" s="2"/>
      <c r="H5" s="2"/>
      <c r="I5" s="2"/>
      <c r="J5" s="2">
        <v>1</v>
      </c>
      <c r="K5" s="2"/>
      <c r="L5" s="2"/>
      <c r="M5" s="2"/>
      <c r="N5" s="2"/>
      <c r="O5" s="2"/>
      <c r="P5" s="2"/>
      <c r="Q5" s="2"/>
      <c r="R5" s="2"/>
      <c r="S5" s="2">
        <v>1</v>
      </c>
      <c r="T5" s="2">
        <v>1</v>
      </c>
      <c r="U5" s="2"/>
      <c r="V5" s="2"/>
      <c r="W5" s="2"/>
      <c r="X5" s="2"/>
      <c r="Y5" s="18">
        <v>1</v>
      </c>
      <c r="Z5" s="18"/>
      <c r="AA5" s="18"/>
      <c r="AB5" s="18">
        <v>1</v>
      </c>
      <c r="AC5" s="18"/>
      <c r="AD5" s="18"/>
      <c r="AE5" s="18"/>
      <c r="AF5" s="18"/>
      <c r="AG5" s="18"/>
      <c r="AH5" s="18"/>
      <c r="AI5" s="18"/>
      <c r="AJ5" s="18"/>
      <c r="AK5" s="18">
        <v>1</v>
      </c>
      <c r="AL5" s="18"/>
      <c r="AM5" s="18"/>
      <c r="AN5" s="18"/>
      <c r="AO5" s="18"/>
      <c r="AP5" s="18"/>
      <c r="AQ5" s="18"/>
      <c r="AR5" s="18">
        <v>1</v>
      </c>
      <c r="AS5" s="18">
        <f t="shared" ref="AS5:AS11" si="0">SUM(C5:AR5)</f>
        <v>9</v>
      </c>
    </row>
    <row r="6" spans="1:45" ht="15.6" x14ac:dyDescent="0.3">
      <c r="A6" s="3" t="s">
        <v>3</v>
      </c>
      <c r="B6" s="1" t="s">
        <v>4</v>
      </c>
      <c r="C6" s="2">
        <v>1</v>
      </c>
      <c r="D6" s="2">
        <v>2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>
        <v>1</v>
      </c>
      <c r="U6" s="2"/>
      <c r="V6" s="2"/>
      <c r="W6" s="2">
        <v>1</v>
      </c>
      <c r="X6" s="2"/>
      <c r="Y6" s="18"/>
      <c r="Z6" s="18"/>
      <c r="AA6" s="18"/>
      <c r="AB6" s="18"/>
      <c r="AC6" s="18">
        <v>1</v>
      </c>
      <c r="AD6" s="18"/>
      <c r="AE6" s="18"/>
      <c r="AF6" s="18"/>
      <c r="AG6" s="18"/>
      <c r="AH6" s="18"/>
      <c r="AI6" s="18"/>
      <c r="AJ6" s="18"/>
      <c r="AK6" s="18"/>
      <c r="AL6" s="18"/>
      <c r="AM6" s="18">
        <v>1</v>
      </c>
      <c r="AN6" s="18"/>
      <c r="AO6" s="18"/>
      <c r="AP6" s="18"/>
      <c r="AQ6" s="18"/>
      <c r="AR6" s="18">
        <v>1</v>
      </c>
      <c r="AS6" s="18">
        <f t="shared" si="0"/>
        <v>8</v>
      </c>
    </row>
    <row r="7" spans="1:45" ht="15.6" x14ac:dyDescent="0.3">
      <c r="A7" s="3" t="s">
        <v>5</v>
      </c>
      <c r="B7" s="1" t="s">
        <v>10</v>
      </c>
      <c r="C7" s="2">
        <v>1</v>
      </c>
      <c r="D7" s="2"/>
      <c r="E7" s="2">
        <v>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>
        <v>2</v>
      </c>
      <c r="S7" s="2"/>
      <c r="T7" s="2"/>
      <c r="U7" s="2"/>
      <c r="V7" s="2">
        <v>1</v>
      </c>
      <c r="W7" s="2"/>
      <c r="X7" s="2"/>
      <c r="Y7" s="18">
        <v>1</v>
      </c>
      <c r="Z7" s="18"/>
      <c r="AA7" s="18"/>
      <c r="AB7" s="18"/>
      <c r="AC7" s="18"/>
      <c r="AD7" s="18">
        <v>1</v>
      </c>
      <c r="AE7" s="18"/>
      <c r="AF7" s="18"/>
      <c r="AG7" s="18"/>
      <c r="AH7" s="18"/>
      <c r="AI7" s="18"/>
      <c r="AJ7" s="18">
        <v>1</v>
      </c>
      <c r="AK7" s="18"/>
      <c r="AL7" s="18"/>
      <c r="AM7" s="18"/>
      <c r="AN7" s="18"/>
      <c r="AO7" s="18"/>
      <c r="AP7" s="18"/>
      <c r="AQ7" s="18"/>
      <c r="AR7" s="18">
        <v>1</v>
      </c>
      <c r="AS7" s="18">
        <f t="shared" si="0"/>
        <v>9</v>
      </c>
    </row>
    <row r="8" spans="1:45" ht="15.6" x14ac:dyDescent="0.3">
      <c r="A8" s="3" t="s">
        <v>12</v>
      </c>
      <c r="B8" s="1" t="s">
        <v>11</v>
      </c>
      <c r="C8" s="2">
        <v>1</v>
      </c>
      <c r="D8" s="2"/>
      <c r="E8" s="2"/>
      <c r="F8" s="2"/>
      <c r="G8" s="2">
        <v>1</v>
      </c>
      <c r="H8" s="2"/>
      <c r="I8" s="2"/>
      <c r="J8" s="2"/>
      <c r="K8" s="2"/>
      <c r="L8" s="2"/>
      <c r="M8" s="2"/>
      <c r="N8" s="2"/>
      <c r="O8" s="2"/>
      <c r="P8" s="2"/>
      <c r="Q8" s="2"/>
      <c r="R8" s="2">
        <v>1</v>
      </c>
      <c r="S8" s="2"/>
      <c r="T8" s="2">
        <v>2</v>
      </c>
      <c r="U8" s="2"/>
      <c r="V8" s="2"/>
      <c r="W8" s="2"/>
      <c r="X8" s="2"/>
      <c r="Y8" s="18">
        <v>1</v>
      </c>
      <c r="Z8" s="18"/>
      <c r="AA8" s="18"/>
      <c r="AB8" s="18"/>
      <c r="AC8" s="18"/>
      <c r="AD8" s="18">
        <v>1</v>
      </c>
      <c r="AE8" s="18">
        <v>1</v>
      </c>
      <c r="AF8" s="18">
        <v>1</v>
      </c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>
        <v>1</v>
      </c>
      <c r="AR8" s="18">
        <v>1</v>
      </c>
      <c r="AS8" s="18">
        <f t="shared" si="0"/>
        <v>11</v>
      </c>
    </row>
    <row r="9" spans="1:45" ht="15.6" x14ac:dyDescent="0.3">
      <c r="A9" s="3" t="s">
        <v>6</v>
      </c>
      <c r="B9" s="1" t="s">
        <v>13</v>
      </c>
      <c r="C9" s="2">
        <v>1</v>
      </c>
      <c r="D9" s="2">
        <v>2</v>
      </c>
      <c r="E9" s="2"/>
      <c r="F9" s="2"/>
      <c r="G9" s="2"/>
      <c r="H9" s="2"/>
      <c r="I9" s="2"/>
      <c r="J9" s="2"/>
      <c r="K9" s="2"/>
      <c r="L9" s="2">
        <v>1</v>
      </c>
      <c r="M9" s="2"/>
      <c r="N9" s="2"/>
      <c r="O9" s="2"/>
      <c r="P9" s="2"/>
      <c r="Q9" s="2"/>
      <c r="R9" s="2"/>
      <c r="S9" s="2"/>
      <c r="T9" s="2">
        <v>1</v>
      </c>
      <c r="U9" s="2"/>
      <c r="V9" s="2"/>
      <c r="W9" s="2">
        <v>1</v>
      </c>
      <c r="X9" s="2">
        <v>1</v>
      </c>
      <c r="Y9" s="18">
        <v>1</v>
      </c>
      <c r="Z9" s="18"/>
      <c r="AA9" s="18"/>
      <c r="AB9" s="18"/>
      <c r="AC9" s="18">
        <v>1</v>
      </c>
      <c r="AD9" s="18"/>
      <c r="AE9" s="18"/>
      <c r="AF9" s="18"/>
      <c r="AG9" s="18"/>
      <c r="AH9" s="18">
        <v>1</v>
      </c>
      <c r="AI9" s="18"/>
      <c r="AJ9" s="18"/>
      <c r="AK9" s="18"/>
      <c r="AL9" s="18"/>
      <c r="AM9" s="18"/>
      <c r="AN9" s="18"/>
      <c r="AO9" s="18">
        <v>1</v>
      </c>
      <c r="AP9" s="18"/>
      <c r="AQ9" s="18"/>
      <c r="AR9" s="18">
        <v>1</v>
      </c>
      <c r="AS9" s="18">
        <f t="shared" si="0"/>
        <v>12</v>
      </c>
    </row>
    <row r="10" spans="1:45" ht="15.6" x14ac:dyDescent="0.3">
      <c r="A10" s="3" t="s">
        <v>15</v>
      </c>
      <c r="B10" s="1" t="s">
        <v>14</v>
      </c>
      <c r="C10" s="2">
        <v>1</v>
      </c>
      <c r="D10" s="2">
        <v>1</v>
      </c>
      <c r="E10" s="2"/>
      <c r="F10" s="2"/>
      <c r="G10" s="2"/>
      <c r="H10" s="2"/>
      <c r="I10" s="2"/>
      <c r="J10" s="2"/>
      <c r="K10" s="2"/>
      <c r="L10" s="2">
        <v>1</v>
      </c>
      <c r="M10" s="2"/>
      <c r="N10" s="2"/>
      <c r="O10" s="2"/>
      <c r="P10" s="2"/>
      <c r="Q10" s="2"/>
      <c r="R10" s="2"/>
      <c r="S10" s="2"/>
      <c r="T10" s="2">
        <v>1</v>
      </c>
      <c r="U10" s="2">
        <v>1</v>
      </c>
      <c r="V10" s="2"/>
      <c r="W10" s="2"/>
      <c r="X10" s="2">
        <v>1</v>
      </c>
      <c r="Y10" s="18">
        <v>1</v>
      </c>
      <c r="Z10" s="18"/>
      <c r="AA10" s="18"/>
      <c r="AB10" s="18"/>
      <c r="AC10" s="18"/>
      <c r="AD10" s="18"/>
      <c r="AE10" s="18"/>
      <c r="AF10" s="18"/>
      <c r="AG10" s="18"/>
      <c r="AH10" s="18">
        <v>1</v>
      </c>
      <c r="AI10" s="18"/>
      <c r="AJ10" s="18"/>
      <c r="AK10" s="18"/>
      <c r="AL10" s="18"/>
      <c r="AM10" s="18"/>
      <c r="AN10" s="18"/>
      <c r="AO10" s="18"/>
      <c r="AP10" s="18"/>
      <c r="AQ10" s="18"/>
      <c r="AR10" s="18">
        <v>1</v>
      </c>
      <c r="AS10" s="18">
        <f t="shared" si="0"/>
        <v>9</v>
      </c>
    </row>
    <row r="11" spans="1:45" ht="15.6" x14ac:dyDescent="0.3">
      <c r="A11" s="3" t="s">
        <v>18</v>
      </c>
      <c r="B11" s="1" t="s">
        <v>16</v>
      </c>
      <c r="C11" s="2">
        <v>1</v>
      </c>
      <c r="D11" s="2">
        <v>1</v>
      </c>
      <c r="E11" s="2"/>
      <c r="F11" s="2"/>
      <c r="G11" s="2"/>
      <c r="H11" s="2"/>
      <c r="I11" s="2"/>
      <c r="J11" s="2"/>
      <c r="K11" s="2"/>
      <c r="L11" s="2">
        <v>1</v>
      </c>
      <c r="M11" s="2"/>
      <c r="N11" s="2"/>
      <c r="O11" s="2"/>
      <c r="P11" s="2"/>
      <c r="Q11" s="2"/>
      <c r="R11" s="2"/>
      <c r="S11" s="2"/>
      <c r="T11" s="2">
        <v>1</v>
      </c>
      <c r="U11" s="16">
        <v>1</v>
      </c>
      <c r="V11" s="2"/>
      <c r="W11" s="2"/>
      <c r="X11" s="2">
        <v>1</v>
      </c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>
        <v>1</v>
      </c>
      <c r="AS11" s="18">
        <f t="shared" si="0"/>
        <v>7</v>
      </c>
    </row>
    <row r="12" spans="1:45" ht="15.6" x14ac:dyDescent="0.3">
      <c r="A12" s="3" t="s">
        <v>88</v>
      </c>
      <c r="B12" s="1" t="s">
        <v>119</v>
      </c>
      <c r="C12" s="2">
        <v>1</v>
      </c>
      <c r="D12" s="2"/>
      <c r="E12" s="2"/>
      <c r="F12" s="2"/>
      <c r="G12" s="2"/>
      <c r="H12" s="2">
        <v>1</v>
      </c>
      <c r="I12" s="2"/>
      <c r="J12" s="2"/>
      <c r="K12" s="2"/>
      <c r="L12" s="2"/>
      <c r="M12" s="2"/>
      <c r="N12" s="2">
        <v>1</v>
      </c>
      <c r="O12" s="2">
        <v>1</v>
      </c>
      <c r="P12" s="2">
        <v>1</v>
      </c>
      <c r="Q12" s="2">
        <v>1</v>
      </c>
      <c r="R12" s="2"/>
      <c r="S12" s="2"/>
      <c r="T12" s="2"/>
      <c r="U12" s="16"/>
      <c r="V12" s="2"/>
      <c r="W12" s="2"/>
      <c r="X12" s="2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>
        <v>1</v>
      </c>
      <c r="AO12" s="18"/>
      <c r="AP12" s="18"/>
      <c r="AQ12" s="18"/>
      <c r="AR12" s="18">
        <v>1</v>
      </c>
      <c r="AS12" s="18">
        <f>SUM(C12:AR12)</f>
        <v>8</v>
      </c>
    </row>
    <row r="13" spans="1:45" ht="15.6" x14ac:dyDescent="0.3">
      <c r="A13" s="3" t="s">
        <v>89</v>
      </c>
      <c r="B13" s="1" t="s">
        <v>118</v>
      </c>
      <c r="C13" s="2">
        <v>1</v>
      </c>
      <c r="D13" s="2"/>
      <c r="E13" s="2"/>
      <c r="F13" s="2">
        <v>1</v>
      </c>
      <c r="G13" s="2"/>
      <c r="H13" s="2"/>
      <c r="I13" s="2">
        <v>1</v>
      </c>
      <c r="J13" s="2"/>
      <c r="K13" s="2">
        <v>1</v>
      </c>
      <c r="L13" s="2"/>
      <c r="M13" s="2">
        <v>1</v>
      </c>
      <c r="N13" s="2"/>
      <c r="O13" s="2"/>
      <c r="P13" s="2">
        <v>1</v>
      </c>
      <c r="Q13" s="2">
        <v>1</v>
      </c>
      <c r="R13" s="2"/>
      <c r="S13" s="2"/>
      <c r="T13" s="2"/>
      <c r="U13" s="16"/>
      <c r="V13" s="2"/>
      <c r="W13" s="2"/>
      <c r="X13" s="2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>
        <v>1</v>
      </c>
      <c r="AJ13" s="18"/>
      <c r="AK13" s="18"/>
      <c r="AL13" s="18"/>
      <c r="AM13" s="18"/>
      <c r="AN13" s="18"/>
      <c r="AO13" s="18"/>
      <c r="AP13" s="18"/>
      <c r="AQ13" s="18"/>
      <c r="AR13" s="18">
        <v>1</v>
      </c>
      <c r="AS13" s="18">
        <f>SUM(C13:AR13)</f>
        <v>9</v>
      </c>
    </row>
    <row r="14" spans="1:45" ht="15.6" x14ac:dyDescent="0.3">
      <c r="A14" s="7" t="s">
        <v>21</v>
      </c>
      <c r="B14" s="1"/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16"/>
      <c r="S14" s="16"/>
      <c r="T14" s="16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7">
        <f>SUM(AS4:AS13)</f>
        <v>93</v>
      </c>
    </row>
    <row r="18" spans="3:22" ht="15.6" x14ac:dyDescent="0.3">
      <c r="C18" s="10"/>
      <c r="D18" s="10"/>
      <c r="E18" s="22"/>
      <c r="F18" s="30"/>
      <c r="G18" s="30"/>
      <c r="H18" s="22"/>
      <c r="I18" s="22"/>
      <c r="J18" s="22"/>
      <c r="K18" s="22"/>
      <c r="L18" s="22"/>
      <c r="M18" s="31"/>
      <c r="N18" s="31"/>
      <c r="O18" s="31"/>
      <c r="P18" s="31"/>
      <c r="Q18" s="31"/>
      <c r="R18" s="31"/>
      <c r="S18" s="31"/>
      <c r="T18" s="31"/>
      <c r="U18" s="31"/>
      <c r="V18" s="31"/>
    </row>
    <row r="19" spans="3:22" ht="15.6" x14ac:dyDescent="0.3">
      <c r="C19" s="10"/>
      <c r="D19" s="10"/>
      <c r="E19" s="22"/>
      <c r="F19" s="30"/>
      <c r="G19" s="30"/>
      <c r="H19" s="22"/>
      <c r="I19" s="30"/>
      <c r="J19" s="30"/>
      <c r="K19" s="22"/>
      <c r="L19" s="30"/>
      <c r="M19" s="31"/>
      <c r="N19" s="31"/>
      <c r="O19" s="31"/>
      <c r="P19" s="31"/>
      <c r="Q19" s="31"/>
      <c r="R19" s="31"/>
      <c r="S19" s="31"/>
      <c r="T19" s="31"/>
      <c r="U19" s="31"/>
      <c r="V19" s="31"/>
    </row>
    <row r="20" spans="3:22" ht="15.6" x14ac:dyDescent="0.3">
      <c r="C20" s="10"/>
      <c r="D20" s="10"/>
      <c r="E20" s="22"/>
      <c r="F20" s="30"/>
      <c r="G20" s="30"/>
      <c r="H20" s="30"/>
      <c r="I20" s="30"/>
      <c r="J20" s="30"/>
      <c r="K20" s="22"/>
      <c r="L20" s="30"/>
      <c r="M20" s="14"/>
      <c r="N20" s="14"/>
      <c r="O20" s="14"/>
      <c r="P20" s="14"/>
      <c r="Q20" s="14"/>
      <c r="R20" s="14"/>
      <c r="S20" s="15"/>
      <c r="T20" s="8"/>
    </row>
    <row r="21" spans="3:22" ht="15.6" x14ac:dyDescent="0.3">
      <c r="C21" s="10"/>
      <c r="D21" s="14"/>
      <c r="E21" s="22"/>
      <c r="F21" s="30"/>
      <c r="G21" s="30"/>
      <c r="H21" s="30"/>
      <c r="I21" s="30"/>
      <c r="J21" s="22"/>
      <c r="K21" s="22"/>
      <c r="L21" s="30"/>
      <c r="M21" s="14"/>
      <c r="N21" s="14"/>
      <c r="O21" s="14"/>
      <c r="P21" s="14"/>
      <c r="Q21" s="14"/>
      <c r="R21" s="10"/>
      <c r="S21" s="15"/>
      <c r="T21" s="8"/>
    </row>
    <row r="22" spans="3:22" ht="15.6" x14ac:dyDescent="0.3">
      <c r="C22" s="10"/>
      <c r="D22" s="14"/>
      <c r="E22" s="22"/>
      <c r="F22" s="30"/>
      <c r="G22" s="30"/>
      <c r="H22" s="30"/>
      <c r="I22" s="30"/>
      <c r="J22" s="22"/>
      <c r="K22" s="30"/>
      <c r="L22" s="30"/>
      <c r="M22" s="14"/>
      <c r="N22" s="14"/>
      <c r="O22" s="14"/>
      <c r="P22" s="14"/>
      <c r="Q22" s="14"/>
      <c r="R22" s="14"/>
      <c r="S22" s="15"/>
      <c r="T22" s="8"/>
    </row>
    <row r="23" spans="3:22" ht="15.6" x14ac:dyDescent="0.3">
      <c r="C23" s="10"/>
      <c r="D23" s="14"/>
      <c r="E23" s="22"/>
      <c r="F23" s="30"/>
      <c r="G23" s="30"/>
      <c r="H23" s="30"/>
      <c r="I23" s="30"/>
      <c r="J23" s="30"/>
      <c r="K23" s="30"/>
      <c r="L23" s="22"/>
      <c r="M23" s="14"/>
      <c r="N23" s="14"/>
      <c r="O23" s="14"/>
      <c r="P23" s="14"/>
      <c r="Q23" s="14"/>
      <c r="R23" s="14"/>
      <c r="S23" s="14"/>
      <c r="T23" s="8"/>
    </row>
    <row r="24" spans="3:22" ht="15.6" x14ac:dyDescent="0.3">
      <c r="C24" s="10"/>
      <c r="D24" s="32"/>
      <c r="E24" s="22"/>
      <c r="F24" s="30"/>
      <c r="G24" s="30"/>
      <c r="H24" s="30"/>
      <c r="I24" s="30"/>
      <c r="J24" s="30"/>
      <c r="K24" s="30"/>
      <c r="L24" s="30"/>
      <c r="M24" s="10"/>
      <c r="N24" s="10"/>
      <c r="O24" s="10"/>
      <c r="P24" s="10"/>
      <c r="Q24" s="10"/>
      <c r="R24" s="10"/>
      <c r="S24" s="15"/>
      <c r="T24" s="8"/>
    </row>
    <row r="25" spans="3:22" ht="15.6" x14ac:dyDescent="0.3">
      <c r="C25" s="10"/>
      <c r="D25" s="32"/>
      <c r="E25" s="22"/>
      <c r="F25" s="30"/>
      <c r="G25" s="30"/>
      <c r="H25" s="30"/>
      <c r="I25" s="30"/>
      <c r="J25" s="30"/>
      <c r="K25" s="30"/>
      <c r="L25" s="30"/>
      <c r="M25" s="10"/>
      <c r="N25" s="10"/>
      <c r="O25" s="10"/>
      <c r="P25" s="10"/>
      <c r="Q25" s="10"/>
      <c r="R25" s="10"/>
      <c r="S25" s="15"/>
      <c r="T25" s="8"/>
    </row>
  </sheetData>
  <mergeCells count="1">
    <mergeCell ref="A2:AS2"/>
  </mergeCells>
  <pageMargins left="0.25" right="0.25" top="0.75" bottom="0.75" header="0.3" footer="0.3"/>
  <pageSetup paperSize="8" scale="2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FD4E2-24AD-48A3-BC9D-F3DC42F6123E}">
  <dimension ref="A3:I13"/>
  <sheetViews>
    <sheetView tabSelected="1" zoomScale="70" zoomScaleNormal="70" workbookViewId="0">
      <selection activeCell="G5" sqref="G5"/>
    </sheetView>
  </sheetViews>
  <sheetFormatPr defaultRowHeight="14.4" x14ac:dyDescent="0.3"/>
  <cols>
    <col min="2" max="2" width="13.109375" customWidth="1"/>
    <col min="3" max="3" width="11.88671875" customWidth="1"/>
    <col min="4" max="4" width="20" bestFit="1" customWidth="1"/>
    <col min="5" max="5" width="15.5546875" customWidth="1"/>
    <col min="6" max="6" width="14.5546875" bestFit="1" customWidth="1"/>
    <col min="7" max="7" width="19.44140625" bestFit="1" customWidth="1"/>
    <col min="8" max="8" width="19" customWidth="1"/>
    <col min="9" max="9" width="35.44140625" customWidth="1"/>
  </cols>
  <sheetData>
    <row r="3" spans="1:9" ht="15.6" x14ac:dyDescent="0.3">
      <c r="A3" s="33" t="s">
        <v>126</v>
      </c>
      <c r="B3" s="33"/>
      <c r="C3" s="33"/>
      <c r="D3" s="33"/>
      <c r="E3" s="33"/>
      <c r="F3" s="33"/>
      <c r="G3" s="33"/>
      <c r="H3" s="33"/>
      <c r="I3" s="33"/>
    </row>
    <row r="4" spans="1:9" ht="120" x14ac:dyDescent="0.3">
      <c r="A4" s="36" t="s">
        <v>1</v>
      </c>
      <c r="B4" s="5" t="s">
        <v>7</v>
      </c>
      <c r="C4" s="6" t="s">
        <v>76</v>
      </c>
      <c r="D4" s="6" t="s">
        <v>77</v>
      </c>
      <c r="E4" s="5" t="s">
        <v>29</v>
      </c>
      <c r="F4" s="5" t="s">
        <v>29</v>
      </c>
      <c r="G4" s="37" t="s">
        <v>22</v>
      </c>
      <c r="H4" s="37" t="s">
        <v>40</v>
      </c>
      <c r="I4" s="37" t="s">
        <v>23</v>
      </c>
    </row>
    <row r="5" spans="1:9" ht="105" x14ac:dyDescent="0.3">
      <c r="A5" s="36" t="s">
        <v>2</v>
      </c>
      <c r="B5" s="5" t="s">
        <v>7</v>
      </c>
      <c r="C5" s="6" t="s">
        <v>76</v>
      </c>
      <c r="D5" s="6" t="s">
        <v>98</v>
      </c>
      <c r="E5" s="5" t="s">
        <v>29</v>
      </c>
      <c r="F5" s="6" t="s">
        <v>78</v>
      </c>
      <c r="G5" s="6" t="s">
        <v>79</v>
      </c>
      <c r="H5" s="5" t="s">
        <v>24</v>
      </c>
      <c r="I5" s="6"/>
    </row>
    <row r="6" spans="1:9" ht="90" x14ac:dyDescent="0.3">
      <c r="A6" s="36" t="s">
        <v>3</v>
      </c>
      <c r="B6" s="5" t="s">
        <v>7</v>
      </c>
      <c r="C6" s="6" t="s">
        <v>76</v>
      </c>
      <c r="D6" s="6" t="s">
        <v>76</v>
      </c>
      <c r="E6" s="6" t="s">
        <v>78</v>
      </c>
      <c r="F6" s="6" t="s">
        <v>99</v>
      </c>
      <c r="G6" s="6" t="s">
        <v>100</v>
      </c>
      <c r="H6" s="5" t="s">
        <v>101</v>
      </c>
      <c r="I6" s="6" t="s">
        <v>102</v>
      </c>
    </row>
    <row r="7" spans="1:9" ht="90" x14ac:dyDescent="0.3">
      <c r="A7" s="36" t="s">
        <v>5</v>
      </c>
      <c r="B7" s="5" t="s">
        <v>7</v>
      </c>
      <c r="C7" s="6" t="s">
        <v>81</v>
      </c>
      <c r="D7" s="6" t="s">
        <v>103</v>
      </c>
      <c r="E7" s="6" t="s">
        <v>103</v>
      </c>
      <c r="F7" s="6" t="s">
        <v>105</v>
      </c>
      <c r="G7" s="5" t="s">
        <v>104</v>
      </c>
      <c r="H7" s="5" t="s">
        <v>25</v>
      </c>
      <c r="I7" s="6"/>
    </row>
    <row r="8" spans="1:9" ht="120" x14ac:dyDescent="0.3">
      <c r="A8" s="36" t="s">
        <v>12</v>
      </c>
      <c r="B8" s="5" t="s">
        <v>7</v>
      </c>
      <c r="C8" s="6" t="s">
        <v>27</v>
      </c>
      <c r="D8" s="6" t="s">
        <v>103</v>
      </c>
      <c r="E8" s="6" t="s">
        <v>78</v>
      </c>
      <c r="F8" s="6" t="s">
        <v>78</v>
      </c>
      <c r="G8" s="5" t="s">
        <v>36</v>
      </c>
      <c r="H8" s="6" t="s">
        <v>104</v>
      </c>
      <c r="I8" s="6" t="s">
        <v>106</v>
      </c>
    </row>
    <row r="9" spans="1:9" ht="90" x14ac:dyDescent="0.3">
      <c r="A9" s="36" t="s">
        <v>6</v>
      </c>
      <c r="B9" s="5" t="s">
        <v>7</v>
      </c>
      <c r="C9" s="6" t="s">
        <v>76</v>
      </c>
      <c r="D9" s="6" t="s">
        <v>78</v>
      </c>
      <c r="E9" s="6" t="s">
        <v>80</v>
      </c>
      <c r="F9" s="6" t="s">
        <v>82</v>
      </c>
      <c r="G9" s="6" t="s">
        <v>83</v>
      </c>
      <c r="H9" s="6" t="s">
        <v>84</v>
      </c>
      <c r="I9" s="5" t="s">
        <v>26</v>
      </c>
    </row>
    <row r="10" spans="1:9" ht="90" x14ac:dyDescent="0.3">
      <c r="A10" s="36" t="s">
        <v>15</v>
      </c>
      <c r="B10" s="5" t="s">
        <v>7</v>
      </c>
      <c r="C10" s="6" t="s">
        <v>76</v>
      </c>
      <c r="D10" s="6" t="s">
        <v>82</v>
      </c>
      <c r="E10" s="6" t="s">
        <v>85</v>
      </c>
      <c r="F10" s="6" t="s">
        <v>86</v>
      </c>
      <c r="G10" s="6" t="s">
        <v>87</v>
      </c>
      <c r="H10" s="6"/>
      <c r="I10" s="6"/>
    </row>
    <row r="11" spans="1:9" ht="90" x14ac:dyDescent="0.3">
      <c r="A11" s="36" t="s">
        <v>18</v>
      </c>
      <c r="B11" s="5" t="s">
        <v>7</v>
      </c>
      <c r="C11" s="6" t="s">
        <v>76</v>
      </c>
      <c r="D11" s="6" t="s">
        <v>82</v>
      </c>
      <c r="E11" s="6" t="s">
        <v>85</v>
      </c>
      <c r="F11" s="6" t="s">
        <v>86</v>
      </c>
      <c r="G11" s="6" t="s">
        <v>87</v>
      </c>
      <c r="H11" s="6"/>
      <c r="I11" s="6"/>
    </row>
    <row r="12" spans="1:9" ht="90" x14ac:dyDescent="0.3">
      <c r="A12" s="36" t="s">
        <v>107</v>
      </c>
      <c r="B12" s="5" t="s">
        <v>7</v>
      </c>
      <c r="C12" s="38" t="s">
        <v>93</v>
      </c>
      <c r="D12" s="38" t="s">
        <v>91</v>
      </c>
      <c r="E12" s="38" t="s">
        <v>92</v>
      </c>
      <c r="F12" s="38" t="s">
        <v>108</v>
      </c>
      <c r="G12" s="38" t="s">
        <v>95</v>
      </c>
      <c r="H12" s="38" t="s">
        <v>94</v>
      </c>
      <c r="I12" s="38" t="s">
        <v>90</v>
      </c>
    </row>
    <row r="13" spans="1:9" ht="90" x14ac:dyDescent="0.3">
      <c r="A13" s="36" t="s">
        <v>109</v>
      </c>
      <c r="B13" s="5" t="s">
        <v>7</v>
      </c>
      <c r="C13" s="38" t="s">
        <v>93</v>
      </c>
      <c r="D13" s="38" t="s">
        <v>110</v>
      </c>
      <c r="E13" s="38" t="s">
        <v>108</v>
      </c>
      <c r="F13" s="38" t="s">
        <v>96</v>
      </c>
      <c r="G13" s="38" t="s">
        <v>77</v>
      </c>
      <c r="H13" s="38" t="s">
        <v>97</v>
      </c>
      <c r="I13" s="38"/>
    </row>
  </sheetData>
  <mergeCells count="1">
    <mergeCell ref="A3:I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F94A5-5AA5-43E0-A1B4-F752F1EFF717}">
  <dimension ref="A1:Q12"/>
  <sheetViews>
    <sheetView view="pageLayout" topLeftCell="A6" zoomScale="85" zoomScaleNormal="100" zoomScalePageLayoutView="85" workbookViewId="0">
      <selection activeCell="A3" sqref="A3:I12"/>
    </sheetView>
  </sheetViews>
  <sheetFormatPr defaultRowHeight="13.8" x14ac:dyDescent="0.3"/>
  <cols>
    <col min="1" max="1" width="5.77734375" style="23" customWidth="1"/>
    <col min="2" max="2" width="9.33203125" style="23" bestFit="1" customWidth="1"/>
    <col min="3" max="3" width="8.6640625" style="23" customWidth="1"/>
    <col min="4" max="4" width="8.6640625" style="23" bestFit="1" customWidth="1"/>
    <col min="5" max="5" width="10.21875" style="23" bestFit="1" customWidth="1"/>
    <col min="6" max="6" width="9.77734375" style="23" bestFit="1" customWidth="1"/>
    <col min="7" max="7" width="12.109375" style="23" bestFit="1" customWidth="1"/>
    <col min="8" max="8" width="13.21875" style="23" bestFit="1" customWidth="1"/>
    <col min="9" max="9" width="10.5546875" style="23" customWidth="1"/>
    <col min="10" max="10" width="8.88671875" style="23"/>
    <col min="11" max="11" width="35.21875" style="23" customWidth="1"/>
    <col min="12" max="16" width="8.88671875" style="23"/>
    <col min="17" max="17" width="55.77734375" style="23" customWidth="1"/>
    <col min="18" max="16384" width="8.88671875" style="23"/>
  </cols>
  <sheetData>
    <row r="1" spans="1:17" x14ac:dyDescent="0.3">
      <c r="A1" s="34" t="s">
        <v>75</v>
      </c>
      <c r="B1" s="34"/>
      <c r="C1" s="34"/>
      <c r="D1" s="34"/>
      <c r="E1" s="34"/>
      <c r="F1" s="34"/>
      <c r="G1" s="34"/>
      <c r="H1" s="34"/>
      <c r="I1" s="34"/>
      <c r="J1" s="21"/>
      <c r="K1" s="22"/>
      <c r="L1" s="21"/>
      <c r="M1" s="21"/>
      <c r="N1" s="21"/>
      <c r="O1" s="21"/>
      <c r="Q1" s="22"/>
    </row>
    <row r="2" spans="1:17" ht="27.6" x14ac:dyDescent="0.3">
      <c r="A2" s="24" t="s">
        <v>59</v>
      </c>
      <c r="B2" s="25" t="s">
        <v>60</v>
      </c>
      <c r="C2" s="25" t="s">
        <v>61</v>
      </c>
      <c r="D2" s="25" t="s">
        <v>62</v>
      </c>
      <c r="E2" s="25" t="s">
        <v>63</v>
      </c>
      <c r="F2" s="25" t="s">
        <v>64</v>
      </c>
      <c r="G2" s="25" t="s">
        <v>65</v>
      </c>
      <c r="H2" s="25" t="s">
        <v>66</v>
      </c>
      <c r="I2" s="25" t="s">
        <v>72</v>
      </c>
      <c r="J2" s="21"/>
      <c r="K2" s="26"/>
      <c r="L2" s="21"/>
      <c r="M2" s="21"/>
      <c r="N2" s="21"/>
      <c r="O2" s="21"/>
      <c r="Q2" s="4"/>
    </row>
    <row r="3" spans="1:17" ht="69" x14ac:dyDescent="0.3">
      <c r="A3" s="29" t="s">
        <v>1</v>
      </c>
      <c r="B3" s="27" t="s">
        <v>7</v>
      </c>
      <c r="C3" s="24" t="s">
        <v>76</v>
      </c>
      <c r="D3" s="24" t="s">
        <v>77</v>
      </c>
      <c r="E3" s="27" t="s">
        <v>29</v>
      </c>
      <c r="F3" s="27" t="s">
        <v>29</v>
      </c>
      <c r="G3" s="28" t="s">
        <v>22</v>
      </c>
      <c r="H3" s="28" t="s">
        <v>40</v>
      </c>
      <c r="I3" s="28" t="s">
        <v>23</v>
      </c>
      <c r="J3" s="21"/>
      <c r="K3" s="26"/>
      <c r="L3" s="21"/>
      <c r="M3" s="21"/>
      <c r="N3" s="21"/>
      <c r="O3" s="21"/>
      <c r="Q3" s="4"/>
    </row>
    <row r="4" spans="1:17" ht="55.2" x14ac:dyDescent="0.3">
      <c r="A4" s="29" t="s">
        <v>2</v>
      </c>
      <c r="B4" s="27" t="s">
        <v>7</v>
      </c>
      <c r="C4" s="24" t="s">
        <v>76</v>
      </c>
      <c r="D4" s="24" t="s">
        <v>98</v>
      </c>
      <c r="E4" s="27" t="s">
        <v>29</v>
      </c>
      <c r="F4" s="24" t="s">
        <v>78</v>
      </c>
      <c r="G4" s="24" t="s">
        <v>79</v>
      </c>
      <c r="H4" s="27" t="s">
        <v>24</v>
      </c>
      <c r="I4" s="24"/>
      <c r="J4" s="21"/>
      <c r="K4" s="26"/>
      <c r="L4" s="21"/>
      <c r="M4" s="21"/>
      <c r="N4" s="21"/>
      <c r="O4" s="21"/>
      <c r="Q4" s="4"/>
    </row>
    <row r="5" spans="1:17" ht="55.2" x14ac:dyDescent="0.3">
      <c r="A5" s="29" t="s">
        <v>3</v>
      </c>
      <c r="B5" s="27" t="s">
        <v>7</v>
      </c>
      <c r="C5" s="24" t="s">
        <v>76</v>
      </c>
      <c r="D5" s="24" t="s">
        <v>76</v>
      </c>
      <c r="E5" s="24" t="s">
        <v>78</v>
      </c>
      <c r="F5" s="24" t="s">
        <v>99</v>
      </c>
      <c r="G5" s="24" t="s">
        <v>100</v>
      </c>
      <c r="H5" s="27" t="s">
        <v>101</v>
      </c>
      <c r="I5" s="24" t="s">
        <v>102</v>
      </c>
      <c r="J5" s="21"/>
      <c r="K5" s="26"/>
      <c r="L5" s="21"/>
      <c r="M5" s="21"/>
      <c r="N5" s="21"/>
      <c r="O5" s="21"/>
      <c r="Q5" s="4"/>
    </row>
    <row r="6" spans="1:17" ht="55.2" x14ac:dyDescent="0.3">
      <c r="A6" s="29" t="s">
        <v>5</v>
      </c>
      <c r="B6" s="27" t="s">
        <v>7</v>
      </c>
      <c r="C6" s="24" t="s">
        <v>81</v>
      </c>
      <c r="D6" s="24" t="s">
        <v>103</v>
      </c>
      <c r="E6" s="24" t="s">
        <v>103</v>
      </c>
      <c r="F6" s="24" t="s">
        <v>105</v>
      </c>
      <c r="G6" s="27" t="s">
        <v>104</v>
      </c>
      <c r="H6" s="27" t="s">
        <v>25</v>
      </c>
      <c r="I6" s="24"/>
      <c r="J6" s="21"/>
      <c r="K6" s="26"/>
      <c r="L6" s="21"/>
      <c r="M6" s="21"/>
      <c r="N6" s="21"/>
      <c r="O6" s="21"/>
      <c r="Q6" s="4"/>
    </row>
    <row r="7" spans="1:17" ht="69" x14ac:dyDescent="0.3">
      <c r="A7" s="29" t="s">
        <v>12</v>
      </c>
      <c r="B7" s="27" t="s">
        <v>7</v>
      </c>
      <c r="C7" s="24" t="s">
        <v>27</v>
      </c>
      <c r="D7" s="24" t="s">
        <v>103</v>
      </c>
      <c r="E7" s="24" t="s">
        <v>78</v>
      </c>
      <c r="F7" s="24" t="s">
        <v>78</v>
      </c>
      <c r="G7" s="27" t="s">
        <v>36</v>
      </c>
      <c r="H7" s="24" t="s">
        <v>104</v>
      </c>
      <c r="I7" s="24" t="s">
        <v>106</v>
      </c>
      <c r="J7" s="21"/>
      <c r="K7" s="4"/>
      <c r="L7" s="21"/>
      <c r="M7" s="21"/>
      <c r="N7" s="21"/>
      <c r="O7" s="21"/>
      <c r="Q7" s="4"/>
    </row>
    <row r="8" spans="1:17" ht="55.2" x14ac:dyDescent="0.3">
      <c r="A8" s="29" t="s">
        <v>6</v>
      </c>
      <c r="B8" s="27" t="s">
        <v>7</v>
      </c>
      <c r="C8" s="24" t="s">
        <v>76</v>
      </c>
      <c r="D8" s="24" t="s">
        <v>78</v>
      </c>
      <c r="E8" s="24" t="s">
        <v>80</v>
      </c>
      <c r="F8" s="24" t="s">
        <v>82</v>
      </c>
      <c r="G8" s="24" t="s">
        <v>83</v>
      </c>
      <c r="H8" s="24" t="s">
        <v>84</v>
      </c>
      <c r="I8" s="27" t="s">
        <v>26</v>
      </c>
      <c r="J8" s="21"/>
      <c r="K8" s="4"/>
      <c r="L8" s="21"/>
      <c r="M8" s="21"/>
      <c r="N8" s="21"/>
      <c r="O8" s="21"/>
      <c r="Q8" s="4"/>
    </row>
    <row r="9" spans="1:17" ht="55.2" x14ac:dyDescent="0.3">
      <c r="A9" s="29" t="s">
        <v>15</v>
      </c>
      <c r="B9" s="27" t="s">
        <v>7</v>
      </c>
      <c r="C9" s="24" t="s">
        <v>76</v>
      </c>
      <c r="D9" s="24" t="s">
        <v>82</v>
      </c>
      <c r="E9" s="24" t="s">
        <v>85</v>
      </c>
      <c r="F9" s="24" t="s">
        <v>86</v>
      </c>
      <c r="G9" s="24" t="s">
        <v>87</v>
      </c>
      <c r="H9" s="24"/>
      <c r="I9" s="24"/>
      <c r="J9" s="21"/>
      <c r="K9" s="4"/>
      <c r="L9" s="21"/>
      <c r="M9" s="21"/>
      <c r="N9" s="21"/>
      <c r="O9" s="21"/>
    </row>
    <row r="10" spans="1:17" ht="55.2" x14ac:dyDescent="0.3">
      <c r="A10" s="29" t="s">
        <v>18</v>
      </c>
      <c r="B10" s="27" t="s">
        <v>7</v>
      </c>
      <c r="C10" s="24" t="s">
        <v>76</v>
      </c>
      <c r="D10" s="24" t="s">
        <v>82</v>
      </c>
      <c r="E10" s="24" t="s">
        <v>85</v>
      </c>
      <c r="F10" s="24" t="s">
        <v>86</v>
      </c>
      <c r="G10" s="24" t="s">
        <v>87</v>
      </c>
      <c r="H10" s="24"/>
      <c r="I10" s="24"/>
      <c r="J10" s="21"/>
      <c r="K10" s="21"/>
      <c r="L10" s="21"/>
      <c r="M10" s="21"/>
      <c r="N10" s="21"/>
      <c r="O10" s="21"/>
    </row>
    <row r="11" spans="1:17" ht="55.2" x14ac:dyDescent="0.3">
      <c r="A11" s="29" t="s">
        <v>107</v>
      </c>
      <c r="B11" s="27" t="s">
        <v>7</v>
      </c>
      <c r="C11" s="25" t="s">
        <v>93</v>
      </c>
      <c r="D11" s="25" t="s">
        <v>91</v>
      </c>
      <c r="E11" s="25" t="s">
        <v>92</v>
      </c>
      <c r="F11" s="25" t="s">
        <v>108</v>
      </c>
      <c r="G11" s="25" t="s">
        <v>95</v>
      </c>
      <c r="H11" s="25" t="s">
        <v>94</v>
      </c>
      <c r="I11" s="25" t="s">
        <v>90</v>
      </c>
    </row>
    <row r="12" spans="1:17" ht="55.2" x14ac:dyDescent="0.3">
      <c r="A12" s="29" t="s">
        <v>109</v>
      </c>
      <c r="B12" s="27" t="s">
        <v>7</v>
      </c>
      <c r="C12" s="25" t="s">
        <v>93</v>
      </c>
      <c r="D12" s="25" t="s">
        <v>110</v>
      </c>
      <c r="E12" s="25" t="s">
        <v>108</v>
      </c>
      <c r="F12" s="25" t="s">
        <v>96</v>
      </c>
      <c r="G12" s="25" t="s">
        <v>77</v>
      </c>
      <c r="H12" s="25" t="s">
        <v>97</v>
      </c>
      <c r="I12" s="25"/>
    </row>
  </sheetData>
  <mergeCells count="1">
    <mergeCell ref="A1:I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97B6-5E9E-4309-8945-166427548A99}">
  <dimension ref="A1:L12"/>
  <sheetViews>
    <sheetView view="pageLayout" zoomScaleNormal="100" workbookViewId="0">
      <selection activeCell="I7" sqref="I7"/>
    </sheetView>
  </sheetViews>
  <sheetFormatPr defaultRowHeight="14.4" x14ac:dyDescent="0.3"/>
  <cols>
    <col min="1" max="1" width="13.6640625" customWidth="1"/>
    <col min="2" max="2" width="8" bestFit="1" customWidth="1"/>
    <col min="3" max="3" width="7.109375" bestFit="1" customWidth="1"/>
    <col min="4" max="4" width="7.21875" bestFit="1" customWidth="1"/>
    <col min="5" max="5" width="8" bestFit="1" customWidth="1"/>
    <col min="6" max="6" width="9.44140625" bestFit="1" customWidth="1"/>
    <col min="7" max="7" width="9.33203125" bestFit="1" customWidth="1"/>
    <col min="8" max="8" width="9.44140625" bestFit="1" customWidth="1"/>
    <col min="9" max="9" width="9.5546875" customWidth="1"/>
    <col min="11" max="11" width="8.88671875" customWidth="1"/>
    <col min="12" max="12" width="6.109375" customWidth="1"/>
  </cols>
  <sheetData>
    <row r="1" spans="1:12" ht="15.6" x14ac:dyDescent="0.3">
      <c r="A1" s="35" t="s">
        <v>58</v>
      </c>
      <c r="B1" s="35"/>
      <c r="C1" s="35"/>
      <c r="D1" s="35"/>
      <c r="E1" s="35"/>
      <c r="F1" s="35"/>
      <c r="G1" s="35"/>
      <c r="H1" s="35"/>
      <c r="I1" s="35"/>
      <c r="L1" s="19"/>
    </row>
    <row r="2" spans="1:12" ht="15.6" x14ac:dyDescent="0.3">
      <c r="A2" s="20" t="s">
        <v>59</v>
      </c>
      <c r="B2" s="20" t="s">
        <v>60</v>
      </c>
      <c r="C2" s="20" t="s">
        <v>61</v>
      </c>
      <c r="D2" s="20" t="s">
        <v>62</v>
      </c>
      <c r="E2" s="20" t="s">
        <v>63</v>
      </c>
      <c r="F2" s="20" t="s">
        <v>64</v>
      </c>
      <c r="G2" s="20" t="s">
        <v>65</v>
      </c>
      <c r="H2" s="20" t="s">
        <v>66</v>
      </c>
      <c r="I2" s="20" t="s">
        <v>72</v>
      </c>
      <c r="L2" s="11"/>
    </row>
    <row r="3" spans="1:12" ht="28.8" x14ac:dyDescent="0.3">
      <c r="A3" s="20" t="s">
        <v>1</v>
      </c>
      <c r="B3" s="20" t="s">
        <v>115</v>
      </c>
      <c r="C3" s="20" t="s">
        <v>67</v>
      </c>
      <c r="D3" s="20" t="s">
        <v>116</v>
      </c>
      <c r="E3" s="20" t="s">
        <v>73</v>
      </c>
      <c r="F3" s="20" t="s">
        <v>8</v>
      </c>
      <c r="G3" s="20" t="s">
        <v>71</v>
      </c>
      <c r="H3" s="20" t="s">
        <v>8</v>
      </c>
      <c r="I3" s="20"/>
      <c r="L3" s="11"/>
    </row>
    <row r="4" spans="1:12" ht="28.8" x14ac:dyDescent="0.3">
      <c r="A4" s="20" t="s">
        <v>2</v>
      </c>
      <c r="B4" s="20" t="s">
        <v>115</v>
      </c>
      <c r="C4" s="20" t="s">
        <v>67</v>
      </c>
      <c r="D4" s="20" t="s">
        <v>116</v>
      </c>
      <c r="E4" s="20" t="s">
        <v>73</v>
      </c>
      <c r="F4" s="20" t="s">
        <v>68</v>
      </c>
      <c r="G4" s="20" t="s">
        <v>71</v>
      </c>
      <c r="H4" s="20" t="s">
        <v>8</v>
      </c>
      <c r="I4" s="20"/>
      <c r="L4" s="11"/>
    </row>
    <row r="5" spans="1:12" ht="28.8" x14ac:dyDescent="0.3">
      <c r="A5" s="20" t="s">
        <v>3</v>
      </c>
      <c r="B5" s="20" t="s">
        <v>115</v>
      </c>
      <c r="C5" s="20" t="s">
        <v>67</v>
      </c>
      <c r="D5" s="20" t="s">
        <v>68</v>
      </c>
      <c r="E5" s="20" t="s">
        <v>74</v>
      </c>
      <c r="F5" s="20" t="s">
        <v>70</v>
      </c>
      <c r="G5" s="20" t="s">
        <v>117</v>
      </c>
      <c r="H5" s="20" t="s">
        <v>8</v>
      </c>
      <c r="I5" s="20"/>
      <c r="L5" s="11"/>
    </row>
    <row r="6" spans="1:12" ht="28.8" x14ac:dyDescent="0.3">
      <c r="A6" s="20" t="s">
        <v>5</v>
      </c>
      <c r="B6" s="20" t="s">
        <v>115</v>
      </c>
      <c r="C6" s="20" t="s">
        <v>67</v>
      </c>
      <c r="D6" s="20" t="s">
        <v>68</v>
      </c>
      <c r="E6" s="20" t="s">
        <v>116</v>
      </c>
      <c r="F6" s="20" t="s">
        <v>71</v>
      </c>
      <c r="G6" s="20" t="s">
        <v>8</v>
      </c>
      <c r="H6" s="20"/>
      <c r="I6" s="20"/>
      <c r="L6" s="11"/>
    </row>
    <row r="7" spans="1:12" ht="28.8" x14ac:dyDescent="0.3">
      <c r="A7" s="20" t="s">
        <v>12</v>
      </c>
      <c r="B7" s="20" t="s">
        <v>115</v>
      </c>
      <c r="C7" s="20" t="s">
        <v>67</v>
      </c>
      <c r="D7" s="20" t="s">
        <v>68</v>
      </c>
      <c r="E7" s="20" t="s">
        <v>74</v>
      </c>
      <c r="F7" s="20" t="s">
        <v>116</v>
      </c>
      <c r="G7" s="20" t="s">
        <v>71</v>
      </c>
      <c r="H7" s="20" t="s">
        <v>8</v>
      </c>
      <c r="I7" s="20"/>
      <c r="L7" s="14"/>
    </row>
    <row r="8" spans="1:12" ht="28.8" x14ac:dyDescent="0.3">
      <c r="A8" s="20" t="s">
        <v>6</v>
      </c>
      <c r="B8" s="20" t="s">
        <v>115</v>
      </c>
      <c r="C8" s="20" t="s">
        <v>67</v>
      </c>
      <c r="D8" s="20" t="s">
        <v>68</v>
      </c>
      <c r="E8" s="20" t="s">
        <v>74</v>
      </c>
      <c r="F8" s="20" t="s">
        <v>116</v>
      </c>
      <c r="G8" s="20" t="s">
        <v>70</v>
      </c>
      <c r="H8" s="20" t="s">
        <v>71</v>
      </c>
      <c r="I8" s="20" t="s">
        <v>8</v>
      </c>
      <c r="L8" s="14"/>
    </row>
    <row r="9" spans="1:12" ht="28.8" x14ac:dyDescent="0.3">
      <c r="A9" s="20" t="s">
        <v>15</v>
      </c>
      <c r="B9" s="20" t="s">
        <v>115</v>
      </c>
      <c r="C9" s="20" t="s">
        <v>67</v>
      </c>
      <c r="D9" s="20" t="s">
        <v>116</v>
      </c>
      <c r="E9" s="20" t="s">
        <v>68</v>
      </c>
      <c r="F9" s="20" t="s">
        <v>71</v>
      </c>
      <c r="G9" s="20" t="s">
        <v>8</v>
      </c>
      <c r="H9" s="20"/>
      <c r="I9" s="20"/>
      <c r="L9" s="14"/>
    </row>
    <row r="10" spans="1:12" ht="28.8" x14ac:dyDescent="0.3">
      <c r="A10" s="20" t="s">
        <v>18</v>
      </c>
      <c r="B10" s="20" t="s">
        <v>115</v>
      </c>
      <c r="C10" s="20" t="s">
        <v>67</v>
      </c>
      <c r="D10" s="20" t="s">
        <v>116</v>
      </c>
      <c r="E10" s="20" t="s">
        <v>68</v>
      </c>
      <c r="F10" s="20" t="s">
        <v>71</v>
      </c>
      <c r="G10" s="20" t="s">
        <v>8</v>
      </c>
      <c r="H10" s="20"/>
      <c r="I10" s="20"/>
    </row>
    <row r="11" spans="1:12" ht="28.8" x14ac:dyDescent="0.3">
      <c r="A11" s="20" t="s">
        <v>88</v>
      </c>
      <c r="B11" s="20" t="s">
        <v>115</v>
      </c>
      <c r="C11" s="20" t="s">
        <v>111</v>
      </c>
      <c r="D11" s="20" t="s">
        <v>67</v>
      </c>
      <c r="E11" s="20" t="s">
        <v>68</v>
      </c>
      <c r="F11" s="20" t="s">
        <v>113</v>
      </c>
      <c r="G11" s="20" t="s">
        <v>114</v>
      </c>
      <c r="H11" s="20" t="s">
        <v>8</v>
      </c>
      <c r="I11" s="20"/>
    </row>
    <row r="12" spans="1:12" ht="28.8" x14ac:dyDescent="0.3">
      <c r="A12" s="20" t="s">
        <v>89</v>
      </c>
      <c r="B12" s="20" t="s">
        <v>115</v>
      </c>
      <c r="C12" s="20" t="s">
        <v>111</v>
      </c>
      <c r="D12" s="20" t="s">
        <v>67</v>
      </c>
      <c r="E12" s="20" t="s">
        <v>68</v>
      </c>
      <c r="F12" s="20" t="s">
        <v>8</v>
      </c>
      <c r="G12" s="20" t="s">
        <v>69</v>
      </c>
      <c r="H12" s="20" t="s">
        <v>112</v>
      </c>
      <c r="I12" s="20"/>
    </row>
  </sheetData>
  <mergeCells count="1">
    <mergeCell ref="A1:I1"/>
  </mergeCells>
  <phoneticPr fontId="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SS2</vt:lpstr>
      <vt:lpstr>Sheet1</vt:lpstr>
      <vt:lpstr>SPREADSHEET 2 MACHINES</vt:lpstr>
      <vt:lpstr>SPREADSHEET 1 OPERATIONS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Fadeel Phillips</dc:creator>
  <cp:lastModifiedBy>Fadeel Phillips</cp:lastModifiedBy>
  <cp:lastPrinted>2026-04-30T12:14:57Z</cp:lastPrinted>
  <dcterms:created xsi:type="dcterms:W3CDTF">2026-03-29T19:14:44Z</dcterms:created>
  <dcterms:modified xsi:type="dcterms:W3CDTF">2026-04-30T12:15:00Z</dcterms:modified>
</cp:coreProperties>
</file>